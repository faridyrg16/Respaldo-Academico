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6395" windowHeight="9465"/>
  </bookViews>
  <sheets>
    <sheet name="BDSUMA" sheetId="1" r:id="rId1"/>
  </sheets>
  <definedNames>
    <definedName name="Alumnos">#REF!</definedName>
    <definedName name="BDDESVEST">#REF!</definedName>
    <definedName name="BDDESVESTP">#REF!</definedName>
    <definedName name="BDVAR">#REF!</definedName>
    <definedName name="BDVARP">#REF!</definedName>
    <definedName name="Condicion">BDSUMA!$I$4:$I$5</definedName>
    <definedName name="Criterio">BDSUMA!$I$4:$I$5</definedName>
    <definedName name="Criterio_Pais">#REF!</definedName>
    <definedName name="CriterioN">#REF!</definedName>
    <definedName name="Vendedor">BDSUMA!$B$3:$F$9</definedName>
  </definedNames>
  <calcPr calcId="144525"/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<sst xmlns="http://schemas.openxmlformats.org/spreadsheetml/2006/main" count="20" uniqueCount="16">
  <si>
    <t>País</t>
  </si>
  <si>
    <t>Vendedor</t>
  </si>
  <si>
    <t>Fecha de pedido</t>
  </si>
  <si>
    <t>ID del pedido</t>
  </si>
  <si>
    <t>PERU</t>
  </si>
  <si>
    <t>Alvares</t>
  </si>
  <si>
    <t>COLOMBIA</t>
  </si>
  <si>
    <t>Gutierrez</t>
  </si>
  <si>
    <t>BRASIL</t>
  </si>
  <si>
    <t>Gomez</t>
  </si>
  <si>
    <t>BOLIVIA</t>
  </si>
  <si>
    <t>Sifuentes</t>
  </si>
  <si>
    <t>Garcia</t>
  </si>
  <si>
    <t>Aparicio</t>
  </si>
  <si>
    <t>NRO VENTAS</t>
  </si>
  <si>
    <t>BDSUMA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</si>
</sst>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S/.-280A]\ #,##0.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Border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2"/>
  <sheetViews>
    <sheetView tabSelected="1" zoomScaleNormal="100" workbookViewId="0">
      <selection activeCell="I13" sqref="I13"/>
    </sheetView>
  </sheetViews>
  <sheetFormatPr baseColWidth="10" defaultRowHeight="15" x14ac:dyDescent="0.25"/>
  <cols>
    <col min="1" max="1" width="8.7109375" customWidth="1"/>
    <col min="2" max="2" width="15.140625" customWidth="1"/>
    <col min="4" max="4" width="16.42578125" customWidth="1"/>
    <col min="5" max="5" width="13.5703125" customWidth="1"/>
    <col min="6" max="6" width="19.28515625" customWidth="1"/>
    <col min="7" max="7" width="2.7109375" customWidth="1"/>
    <col min="8" max="8" width="14.42578125" customWidth="1"/>
    <col min="9" max="9" width="11.7109375" customWidth="1"/>
  </cols>
  <sheetData>
    <row r="3" spans="2:9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14</v>
      </c>
    </row>
    <row r="4" spans="2:9" x14ac:dyDescent="0.25">
      <c r="B4" s="3" t="s">
        <v>4</v>
      </c>
      <c r="C4" s="3" t="s">
        <v>5</v>
      </c>
      <c r="D4" s="4">
        <v>40375</v>
      </c>
      <c r="E4" s="5">
        <v>10248</v>
      </c>
      <c r="F4" s="6">
        <v>12500</v>
      </c>
      <c r="H4" s="9" t="s">
        <v>15</v>
      </c>
      <c r="I4" s="2" t="s">
        <v>0</v>
      </c>
    </row>
    <row r="5" spans="2:9" x14ac:dyDescent="0.25">
      <c r="B5" s="3" t="s">
        <v>10</v>
      </c>
      <c r="C5" s="3" t="s">
        <v>11</v>
      </c>
      <c r="D5" s="4">
        <v>40374</v>
      </c>
      <c r="E5" s="5">
        <v>10253</v>
      </c>
      <c r="F5" s="6">
        <v>16000</v>
      </c>
      <c r="H5" s="11">
        <f>DSUM(Vendedor,F3,Criterio)</f>
        <v>42500</v>
      </c>
      <c r="I5" s="5" t="s">
        <v>4</v>
      </c>
    </row>
    <row r="6" spans="2:9" x14ac:dyDescent="0.25">
      <c r="B6" s="3" t="s">
        <v>4</v>
      </c>
      <c r="C6" s="3" t="s">
        <v>12</v>
      </c>
      <c r="D6" s="4">
        <v>40409</v>
      </c>
      <c r="E6" s="5">
        <v>10261</v>
      </c>
      <c r="F6" s="6">
        <v>18000</v>
      </c>
    </row>
    <row r="7" spans="2:9" x14ac:dyDescent="0.25">
      <c r="B7" s="3" t="s">
        <v>6</v>
      </c>
      <c r="C7" s="3" t="s">
        <v>7</v>
      </c>
      <c r="D7" s="4">
        <v>40371</v>
      </c>
      <c r="E7" s="5">
        <v>10250</v>
      </c>
      <c r="F7" s="6">
        <v>15520.6</v>
      </c>
      <c r="H7" s="8"/>
      <c r="I7" s="10"/>
    </row>
    <row r="8" spans="2:9" x14ac:dyDescent="0.25">
      <c r="B8" s="3" t="s">
        <v>4</v>
      </c>
      <c r="C8" s="7" t="s">
        <v>13</v>
      </c>
      <c r="D8" s="4">
        <v>40423</v>
      </c>
      <c r="E8" s="5">
        <v>10264</v>
      </c>
      <c r="F8" s="6">
        <v>12000</v>
      </c>
      <c r="I8" s="8"/>
    </row>
    <row r="9" spans="2:9" x14ac:dyDescent="0.25">
      <c r="B9" s="3" t="s">
        <v>8</v>
      </c>
      <c r="C9" s="3" t="s">
        <v>9</v>
      </c>
      <c r="D9" s="4">
        <v>40370</v>
      </c>
      <c r="E9" s="5">
        <v>10252</v>
      </c>
      <c r="F9" s="6">
        <v>18000</v>
      </c>
      <c r="H9" s="8"/>
    </row>
    <row r="17" spans="2:6" x14ac:dyDescent="0.25">
      <c r="D17" s="10"/>
    </row>
    <row r="20" spans="2:6" x14ac:dyDescent="0.25">
      <c r="B20" s="12"/>
      <c r="C20" s="12"/>
      <c r="D20" s="13"/>
      <c r="E20" s="14"/>
      <c r="F20" s="15"/>
    </row>
    <row r="21" spans="2:6" x14ac:dyDescent="0.25">
      <c r="B21" s="12"/>
      <c r="C21" s="12"/>
      <c r="D21" s="13"/>
      <c r="E21" s="14"/>
      <c r="F21" s="16"/>
    </row>
    <row r="22" spans="2:6" x14ac:dyDescent="0.25">
      <c r="B22" s="16"/>
      <c r="C22" s="16"/>
      <c r="D22" s="16"/>
      <c r="E22" s="16"/>
      <c r="F22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F3E56-301D-44D5-8CDF-2364F4948418}"/>
</file>

<file path=customXml/itemProps2.xml><?xml version="1.0" encoding="utf-8"?>
<ds:datastoreItem xmlns:ds="http://schemas.openxmlformats.org/officeDocument/2006/customXml" ds:itemID="{07DF434F-BCA7-4468-96DF-3074556419EF}"/>
</file>

<file path=customXml/itemProps3.xml><?xml version="1.0" encoding="utf-8"?>
<ds:datastoreItem xmlns:ds="http://schemas.openxmlformats.org/officeDocument/2006/customXml" ds:itemID="{D727679B-76A0-4160-818B-0F801D23E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BDSUMA</vt:lpstr>
      <vt:lpstr>Condicion</vt:lpstr>
      <vt:lpstr>Criterio</vt:lpstr>
      <vt:lpstr>Vendedor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2010-11-30T15:35:21Z</dcterms:created>
  <dcterms:modified xsi:type="dcterms:W3CDTF">2010-11-30T17:34:41Z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