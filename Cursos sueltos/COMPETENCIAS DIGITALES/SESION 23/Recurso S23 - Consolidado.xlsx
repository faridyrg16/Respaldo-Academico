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90" windowWidth="28035" windowHeight="12015" activeTab="3"/>
  </bookViews>
  <sheets>
    <sheet name="VEN2007" sheetId="1" r:id="rId1"/>
    <sheet name="VEN2008" sheetId="2" r:id="rId2"/>
    <sheet name="VEN2009" sheetId="3" r:id="rId3"/>
    <sheet name="VEN2010" sheetId="4" r:id="rId4"/>
  </sheets>
  <calcPr calcId="144525"/>
</workbook>
</file>

<file path=xl/calcChain.xml><?xml version="1.0" encoding="utf-8"?>
<calcChain xmlns="http://schemas.openxmlformats.org/spreadsheetml/2006/main">
  <c r="F5" i="4" l="1"/>
  <c r="F4" i="4"/>
  <c r="F3" i="4"/>
  <c r="F2" i="4"/>
  <c r="F5" i="3"/>
  <c r="F4" i="3"/>
  <c r="F3" i="3"/>
  <c r="F2" i="3"/>
  <c r="F5" i="2"/>
  <c r="F4" i="2"/>
  <c r="F3" i="2"/>
  <c r="F2" i="2"/>
  <c r="F6" i="2" s="1"/>
  <c r="F5" i="1"/>
  <c r="F4" i="1"/>
  <c r="F3" i="1"/>
  <c r="F2" i="1"/>
  <c r="F6" i="1" s="1"/>
  <c r="F6" i="3" l="1"/>
  <c r="F6" i="4"/>
</calcChain>
</file>

<file path=xl/sharedStrings.xml><?xml version="1.0" encoding="utf-8"?>
<sst xmlns="http://schemas.openxmlformats.org/spreadsheetml/2006/main" count="44" uniqueCount="11">
  <si>
    <t>SUCURSAL</t>
  </si>
  <si>
    <t>TRIM1</t>
  </si>
  <si>
    <t>TRIM2</t>
  </si>
  <si>
    <t>TRIM3</t>
  </si>
  <si>
    <t>TRIM4</t>
  </si>
  <si>
    <t>SUBTOTAL</t>
  </si>
  <si>
    <t>LIMA</t>
  </si>
  <si>
    <t>PIURA</t>
  </si>
  <si>
    <t>AREQUIPA</t>
  </si>
  <si>
    <t>CUSCO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</si>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</sst>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a1" displayName="Tabla1" ref="A1:F6" totalsRowCount="1" headerRowDxfId="6">
  <autoFilter ref="A1:F5"/>
  <tableColumns count="6">
    <tableColumn id="1" name="SUCURSAL" totalsRowLabel="Total"/>
    <tableColumn id="2" name="TRIM1"/>
    <tableColumn id="3" name="TRIM2"/>
    <tableColumn id="4" name="TRIM3"/>
    <tableColumn id="5" name="TRIM4"/>
    <tableColumn id="6" name="SUBTOTAL" totalsRowFunction="sum" dataDxfId="5">
      <calculatedColumnFormula>SUM(B2:E2)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F6" totalsRowCount="1" headerRowDxfId="4">
  <autoFilter ref="A1:F5"/>
  <tableColumns count="6">
    <tableColumn id="1" name="SUCURSAL" totalsRowLabel="Total"/>
    <tableColumn id="2" name="TRIM1"/>
    <tableColumn id="3" name="TRIM2"/>
    <tableColumn id="4" name="TRIM3"/>
    <tableColumn id="5" name="TRIM4"/>
    <tableColumn id="6" name="SUBTOTAL" totalsRowFunction="sum">
      <calculatedColumnFormula>SUM(B2:E2)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F6" totalsRowCount="1" headerRowDxfId="3">
  <autoFilter ref="A1:F5"/>
  <tableColumns count="6">
    <tableColumn id="1" name="SUCURSAL" totalsRowLabel="Total"/>
    <tableColumn id="2" name="TRIM1"/>
    <tableColumn id="3" name="TRIM2"/>
    <tableColumn id="4" name="TRIM3"/>
    <tableColumn id="5" name="TRIM4"/>
    <tableColumn id="6" name="SUBTOTAL" totalsRowFunction="sum" dataDxfId="2">
      <calculatedColumnFormula>SUM(Tabla14[[#This Row],[TRIM1]:[TRIM4]])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47" displayName="Tabla147" ref="A1:F6" totalsRowCount="1" headerRowDxfId="1">
  <autoFilter ref="A1:F5"/>
  <tableColumns count="6">
    <tableColumn id="1" name="SUCURSAL" totalsRowLabel="Total"/>
    <tableColumn id="2" name="TRIM1"/>
    <tableColumn id="3" name="TRIM2"/>
    <tableColumn id="4" name="TRIM3"/>
    <tableColumn id="5" name="TRIM4"/>
    <tableColumn id="6" name="SUBTOTAL" totalsRowFunction="sum" dataDxfId="0">
      <calculatedColumnFormula>SUM(Tabla147[[#This Row],[TRIM1]:[TRIM4]])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90" zoomScaleNormal="190" workbookViewId="0"/>
  </sheetViews>
  <sheetFormatPr baseColWidth="10" defaultRowHeight="15" x14ac:dyDescent="0.25"/>
  <cols>
    <col min="1" max="1" width="12.42578125" customWidth="1"/>
    <col min="6" max="6" width="12.28515625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15050</v>
      </c>
      <c r="C2">
        <v>25000</v>
      </c>
      <c r="D2">
        <v>35000</v>
      </c>
      <c r="E2">
        <v>26000</v>
      </c>
      <c r="F2">
        <f t="shared" ref="F2:F5" si="0">SUM(B2:E2)</f>
        <v>101050</v>
      </c>
    </row>
    <row r="3" spans="1:6" x14ac:dyDescent="0.25">
      <c r="A3" t="s">
        <v>7</v>
      </c>
      <c r="B3">
        <v>25010</v>
      </c>
      <c r="C3">
        <v>45000</v>
      </c>
      <c r="D3">
        <v>23000</v>
      </c>
      <c r="E3">
        <v>35010</v>
      </c>
      <c r="F3">
        <f t="shared" si="0"/>
        <v>128020</v>
      </c>
    </row>
    <row r="4" spans="1:6" x14ac:dyDescent="0.25">
      <c r="A4" t="s">
        <v>8</v>
      </c>
      <c r="B4">
        <v>36000</v>
      </c>
      <c r="C4">
        <v>26000</v>
      </c>
      <c r="D4">
        <v>34000</v>
      </c>
      <c r="E4">
        <v>34000</v>
      </c>
      <c r="F4">
        <f t="shared" si="0"/>
        <v>130000</v>
      </c>
    </row>
    <row r="5" spans="1:6" x14ac:dyDescent="0.25">
      <c r="A5" t="s">
        <v>9</v>
      </c>
      <c r="B5">
        <v>45000</v>
      </c>
      <c r="C5">
        <v>35000</v>
      </c>
      <c r="D5">
        <v>26000</v>
      </c>
      <c r="E5">
        <v>32000</v>
      </c>
      <c r="F5">
        <f t="shared" si="0"/>
        <v>138000</v>
      </c>
    </row>
    <row r="6" spans="1:6" x14ac:dyDescent="0.25">
      <c r="A6" t="s">
        <v>10</v>
      </c>
      <c r="F6">
        <f>SUBTOTAL(109,Tabla1[SUBTOTAL])</f>
        <v>497070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60" zoomScaleNormal="160" workbookViewId="0">
      <selection activeCell="A10" sqref="A10"/>
    </sheetView>
  </sheetViews>
  <sheetFormatPr baseColWidth="10"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35000</v>
      </c>
      <c r="C2">
        <v>25000</v>
      </c>
      <c r="D2" s="2">
        <v>15050</v>
      </c>
      <c r="E2">
        <v>26000</v>
      </c>
      <c r="F2">
        <f>SUM(B2:E2)</f>
        <v>101050</v>
      </c>
    </row>
    <row r="3" spans="1:6" x14ac:dyDescent="0.25">
      <c r="A3" t="s">
        <v>7</v>
      </c>
      <c r="B3">
        <v>23000</v>
      </c>
      <c r="C3">
        <v>36800</v>
      </c>
      <c r="D3" s="3">
        <v>25010</v>
      </c>
      <c r="E3">
        <v>35010</v>
      </c>
      <c r="F3">
        <f>SUM(B3:E3)</f>
        <v>119820</v>
      </c>
    </row>
    <row r="4" spans="1:6" x14ac:dyDescent="0.25">
      <c r="A4" t="s">
        <v>8</v>
      </c>
      <c r="B4">
        <v>34000</v>
      </c>
      <c r="C4">
        <v>34500</v>
      </c>
      <c r="D4" s="2">
        <v>36000</v>
      </c>
      <c r="E4">
        <v>34000</v>
      </c>
      <c r="F4">
        <f>SUM(B4:E4)</f>
        <v>138500</v>
      </c>
    </row>
    <row r="5" spans="1:6" x14ac:dyDescent="0.25">
      <c r="A5" t="s">
        <v>9</v>
      </c>
      <c r="B5">
        <v>26000</v>
      </c>
      <c r="C5">
        <v>26000</v>
      </c>
      <c r="D5" s="3">
        <v>45000</v>
      </c>
      <c r="E5">
        <v>32000</v>
      </c>
      <c r="F5">
        <f>SUM(B5:E5)</f>
        <v>129000</v>
      </c>
    </row>
    <row r="6" spans="1:6" x14ac:dyDescent="0.25">
      <c r="A6" t="s">
        <v>10</v>
      </c>
      <c r="F6">
        <f>SUBTOTAL(109,Tabla13[SUBTOTAL])</f>
        <v>488370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60" zoomScaleNormal="160" workbookViewId="0"/>
  </sheetViews>
  <sheetFormatPr baseColWidth="10"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26000</v>
      </c>
      <c r="C2">
        <v>25000</v>
      </c>
      <c r="D2" s="2">
        <v>15050</v>
      </c>
      <c r="E2">
        <v>35000</v>
      </c>
      <c r="F2">
        <f>SUM(Tabla14[[#This Row],[TRIM1]:[TRIM4]])</f>
        <v>101050</v>
      </c>
    </row>
    <row r="3" spans="1:6" x14ac:dyDescent="0.25">
      <c r="A3" t="s">
        <v>7</v>
      </c>
      <c r="B3">
        <v>35010</v>
      </c>
      <c r="C3">
        <v>27000</v>
      </c>
      <c r="D3" s="3">
        <v>30000</v>
      </c>
      <c r="E3">
        <v>25400</v>
      </c>
      <c r="F3">
        <f>SUM(Tabla14[[#This Row],[TRIM1]:[TRIM4]])</f>
        <v>117410</v>
      </c>
    </row>
    <row r="4" spans="1:6" x14ac:dyDescent="0.25">
      <c r="A4" t="s">
        <v>8</v>
      </c>
      <c r="B4">
        <v>34000</v>
      </c>
      <c r="C4">
        <v>30000</v>
      </c>
      <c r="D4" s="2">
        <v>24500</v>
      </c>
      <c r="E4">
        <v>34000</v>
      </c>
      <c r="F4">
        <f>SUM(Tabla14[[#This Row],[TRIM1]:[TRIM4]])</f>
        <v>122500</v>
      </c>
    </row>
    <row r="5" spans="1:6" x14ac:dyDescent="0.25">
      <c r="A5" t="s">
        <v>9</v>
      </c>
      <c r="B5">
        <v>25000</v>
      </c>
      <c r="C5">
        <v>26000</v>
      </c>
      <c r="D5" s="3">
        <v>47500</v>
      </c>
      <c r="E5">
        <v>27000</v>
      </c>
      <c r="F5">
        <f>SUM(Tabla14[[#This Row],[TRIM1]:[TRIM4]])</f>
        <v>125500</v>
      </c>
    </row>
    <row r="6" spans="1:6" x14ac:dyDescent="0.25">
      <c r="A6" t="s">
        <v>10</v>
      </c>
      <c r="F6">
        <f>SUBTOTAL(109,Tabla14[SUBTOTAL])</f>
        <v>466460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45" zoomScaleNormal="145" workbookViewId="0"/>
  </sheetViews>
  <sheetFormatPr baseColWidth="10"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25000</v>
      </c>
      <c r="C2">
        <v>26000</v>
      </c>
      <c r="D2" s="2">
        <v>14000</v>
      </c>
      <c r="E2">
        <v>26900</v>
      </c>
      <c r="F2">
        <f>SUM(Tabla147[[#This Row],[TRIM1]:[TRIM4]])</f>
        <v>91900</v>
      </c>
    </row>
    <row r="3" spans="1:6" x14ac:dyDescent="0.25">
      <c r="A3" t="s">
        <v>7</v>
      </c>
      <c r="B3">
        <v>36000</v>
      </c>
      <c r="C3">
        <v>27000</v>
      </c>
      <c r="D3" s="3">
        <v>25000</v>
      </c>
      <c r="E3">
        <v>25400</v>
      </c>
      <c r="F3">
        <f>SUM(Tabla147[[#This Row],[TRIM1]:[TRIM4]])</f>
        <v>113400</v>
      </c>
    </row>
    <row r="4" spans="1:6" x14ac:dyDescent="0.25">
      <c r="A4" t="s">
        <v>8</v>
      </c>
      <c r="B4">
        <v>24000</v>
      </c>
      <c r="C4">
        <v>25000</v>
      </c>
      <c r="D4" s="2">
        <v>29000</v>
      </c>
      <c r="E4">
        <v>34000</v>
      </c>
      <c r="F4">
        <f>SUM(Tabla147[[#This Row],[TRIM1]:[TRIM4]])</f>
        <v>112000</v>
      </c>
    </row>
    <row r="5" spans="1:6" x14ac:dyDescent="0.25">
      <c r="A5" t="s">
        <v>9</v>
      </c>
      <c r="B5">
        <v>18000</v>
      </c>
      <c r="C5">
        <v>34000</v>
      </c>
      <c r="D5" s="3">
        <v>37000</v>
      </c>
      <c r="E5">
        <v>27000</v>
      </c>
      <c r="F5">
        <f>SUM(Tabla147[[#This Row],[TRIM1]:[TRIM4]])</f>
        <v>116000</v>
      </c>
    </row>
    <row r="6" spans="1:6" x14ac:dyDescent="0.25">
      <c r="A6" t="s">
        <v>10</v>
      </c>
      <c r="F6">
        <f>SUBTOTAL(109,Tabla147[SUBTOTAL])</f>
        <v>433300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FD53C7-8ACA-4408-AED5-147F00247FCA}"/>
</file>

<file path=customXml/itemProps2.xml><?xml version="1.0" encoding="utf-8"?>
<ds:datastoreItem xmlns:ds="http://schemas.openxmlformats.org/officeDocument/2006/customXml" ds:itemID="{A7F78AFD-A05A-4722-9A53-AD5F0FEDA7B4}"/>
</file>

<file path=customXml/itemProps3.xml><?xml version="1.0" encoding="utf-8"?>
<ds:datastoreItem xmlns:ds="http://schemas.openxmlformats.org/officeDocument/2006/customXml" ds:itemID="{92E1DDEE-2C9C-4195-8B3F-ED83CD90A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VEN2007</vt:lpstr>
      <vt:lpstr>VEN2008</vt:lpstr>
      <vt:lpstr>VEN2009</vt:lpstr>
      <vt:lpstr>VEN2010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2011-01-19T21:24:41Z</dcterms:created>
  <dcterms:modified xsi:type="dcterms:W3CDTF">2011-01-19T21:27:30Z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