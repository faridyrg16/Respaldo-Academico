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720" codeName="{00000000-0000-0000-0000-000000000000}"/>
  <workbookPr codeName="ThisWorkbook" hidePivotFieldList="1" defaultThemeVersion="124226"/>
  <xr:revisionPtr revIDLastSave="0" documentId="11_D138D1EEEA3608F4BAB6F8FF8FC44A636D828868" xr6:coauthVersionLast="47" xr6:coauthVersionMax="47" xr10:uidLastSave="{00000000-0000-0000-0000-000000000000}"/>
  <bookViews>
    <workbookView xWindow="240" yWindow="60" windowWidth="9180" windowHeight="4245" firstSheet="3" activeTab="3" xr2:uid="{00000000-000D-0000-FFFF-FFFF00000000}"/>
  </bookViews>
  <sheets>
    <sheet name="ControlesFormulario" sheetId="4" r:id="rId1"/>
    <sheet name="Inicio" sheetId="7" r:id="rId2"/>
    <sheet name="Pruebas" sheetId="6" r:id="rId3"/>
    <sheet name="Empleados" sheetId="1" r:id="rId4"/>
  </sheets>
  <definedNames>
    <definedName name="DIAS">ControlesFormulario!$B$12:$B$18</definedName>
    <definedName name="Meses">ControlesFormulario!$B$22:$B$33</definedName>
  </definedNames>
  <calcPr calcId="144525" calcCompleted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5" i="4" l="1"/>
  <c r="D47" i="4"/>
  <c r="D36" i="4"/>
  <c r="D22" i="4"/>
  <c r="D12" i="4" l="1"/>
  <c r="A9" i="4"/>
  <c r="C7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Prog. Nacional de Informática</author>
  </authors>
  <commentList>
    <comment ref="D45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Prog. Nacional de Informática:</t>
        </r>
        <r>
          <rPr>
            <sz val="8"/>
            <color indexed="81"/>
            <rFont val="Tahoma"/>
            <family val="2"/>
          </rPr>
          <t xml:space="preserve">
Su hay cuota inicial será el 20% del precio de lista. 
El monto de la cuota será la diferencia del precio de lista menos la cuota inicial dividido entre el nro. De cuotas
</t>
        </r>
      </text>
    </comment>
  </commentList>
</comments>
</file>

<file path=xl/sharedStrings.xml><?xml version="1.0" encoding="utf-8"?>
<sst xmlns="http://schemas.openxmlformats.org/spreadsheetml/2006/main" count="165" uniqueCount="106">
  <si>
    <t>Formularios Personalizados</t>
  </si>
  <si>
    <t>Controles comunes</t>
  </si>
  <si>
    <t>Celdas Vinculadas</t>
  </si>
  <si>
    <t>BARRAS DE DESPLAZAMIENTO</t>
  </si>
  <si>
    <t>FECHA INICIO</t>
  </si>
  <si>
    <t>NRO.RUC</t>
  </si>
  <si>
    <t>100-</t>
  </si>
  <si>
    <t>CUADRO COMBINADO</t>
  </si>
  <si>
    <t>DIA INICIO</t>
  </si>
  <si>
    <t>LUNES</t>
  </si>
  <si>
    <t>MARTES</t>
  </si>
  <si>
    <t>MIÉRCOLES</t>
  </si>
  <si>
    <t>JUEVES</t>
  </si>
  <si>
    <t>VIERNES</t>
  </si>
  <si>
    <t>SÁBADO</t>
  </si>
  <si>
    <t>DOMINGO</t>
  </si>
  <si>
    <t>CUADRO DE LISTA</t>
  </si>
  <si>
    <t>MES INICIO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</si>
  <si>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</si>
  <si>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</si>
  <si>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</si>
  <si>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</si>
  <si>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</si>
  <si>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</si>
  <si>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</si>
  <si>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</si>
  <si>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</si>
  <si>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</si>
  <si>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</si>
  <si>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</si>
  <si>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BOTONES DE OPCION</t>
  </si>
  <si>
    <t>Condición del Alumno</t>
  </si>
  <si>
    <t>CASILLA DE VERIFICACION</t>
  </si>
  <si>
    <t>Precio Lista</t>
  </si>
  <si>
    <t>Cuota Inicial</t>
  </si>
  <si>
    <t xml:space="preserve"> </t>
  </si>
  <si>
    <t>Nro. Cuotas</t>
  </si>
  <si>
    <t>Monto Cuota</t>
  </si>
  <si>
    <t>CONTROL NÚMERO</t>
  </si>
  <si>
    <t>Segundos de Espera</t>
  </si>
  <si>
    <t>Valor devuelto</t>
  </si>
  <si>
    <t>Celda Vinculada</t>
  </si>
  <si>
    <t>Control</t>
  </si>
  <si>
    <t>Al hacer clic en el control se devuelve un valor</t>
  </si>
  <si>
    <t>DATOS DE LOS EMPLEADOS</t>
  </si>
  <si>
    <t>Código</t>
  </si>
  <si>
    <t>Apellido_Paterno</t>
  </si>
  <si>
    <t>Apellido_materno</t>
  </si>
  <si>
    <t>Nombres</t>
  </si>
  <si>
    <t>Región</t>
  </si>
  <si>
    <t>Lugar</t>
  </si>
  <si>
    <t>Sexo</t>
  </si>
  <si>
    <t>Sueldo</t>
  </si>
  <si>
    <t>Edad</t>
  </si>
  <si>
    <t>HUERTA</t>
  </si>
  <si>
    <t>LOPEZ</t>
  </si>
  <si>
    <t>DANIELA</t>
  </si>
  <si>
    <t>Centro</t>
  </si>
  <si>
    <t>Callao</t>
  </si>
  <si>
    <t>H</t>
  </si>
  <si>
    <t>RAMIREZ</t>
  </si>
  <si>
    <t>CARO</t>
  </si>
  <si>
    <t>GALIA</t>
  </si>
  <si>
    <t>Oriente</t>
  </si>
  <si>
    <t>Iquitos</t>
  </si>
  <si>
    <t>M</t>
  </si>
  <si>
    <t>VIVAS</t>
  </si>
  <si>
    <t>GARCIA</t>
  </si>
  <si>
    <t>DIANA</t>
  </si>
  <si>
    <t>ALVAREZ</t>
  </si>
  <si>
    <t>GRADOS</t>
  </si>
  <si>
    <t>JOAN</t>
  </si>
  <si>
    <t>ANDIA</t>
  </si>
  <si>
    <t>MATIAS</t>
  </si>
  <si>
    <t>Lima</t>
  </si>
  <si>
    <t>CALLE</t>
  </si>
  <si>
    <t>LAU</t>
  </si>
  <si>
    <t>DANIEL</t>
  </si>
  <si>
    <t>HUERTO</t>
  </si>
  <si>
    <t>SARA</t>
  </si>
  <si>
    <t>IMAN</t>
  </si>
  <si>
    <t>VERGARA</t>
  </si>
  <si>
    <t>JAIME</t>
  </si>
  <si>
    <t>PANIZO</t>
  </si>
  <si>
    <t>RUEDA</t>
  </si>
  <si>
    <t>JORGE</t>
  </si>
  <si>
    <t>Norte</t>
  </si>
  <si>
    <t>Piura</t>
  </si>
  <si>
    <t>asdfasd</t>
  </si>
  <si>
    <t>PATRICIA</t>
  </si>
  <si>
    <t>REATEGUI</t>
  </si>
  <si>
    <t>ROJAS</t>
  </si>
  <si>
    <t>DANE</t>
  </si>
  <si>
    <t>REYES</t>
  </si>
  <si>
    <t>RENATO</t>
  </si>
  <si>
    <t>ERALD</t>
  </si>
  <si>
    <t>MARGARITA</t>
  </si>
  <si>
    <t>NIMA</t>
  </si>
  <si>
    <t>RAUL</t>
  </si>
  <si>
    <t>Tumbes</t>
  </si>
  <si>
    <t>CASAS</t>
  </si>
  <si>
    <t>ALFARO</t>
  </si>
  <si>
    <t>BALTAZAR</t>
  </si>
  <si>
    <t>DIAZ</t>
  </si>
  <si>
    <t>NELLY</t>
  </si>
  <si>
    <t>ALFONSO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</si>
</sst>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3">
    <font>
      <sz val="10"/>
      <name val="Arial"/>
    </font>
    <font>
      <b/>
      <sz val="9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b/>
      <sz val="16"/>
      <name val="Arial"/>
      <family val="2"/>
    </font>
    <font>
      <sz val="10"/>
      <color indexed="10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8"/>
      <name val="Arial"/>
      <family val="2"/>
    </font>
    <font>
      <b/>
      <sz val="16"/>
      <color rgb="FFFF0000"/>
      <name val="Arial"/>
      <family val="2"/>
    </font>
    <font>
      <b/>
      <sz val="11"/>
      <name val="Arial"/>
      <family val="2"/>
    </font>
    <font>
      <b/>
      <sz val="9"/>
      <color rgb="FF0070C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92D05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3" fillId="2" borderId="1" xfId="0" applyFont="1" applyFill="1" applyBorder="1"/>
    <xf numFmtId="0" fontId="0" fillId="2" borderId="2" xfId="0" applyFill="1" applyBorder="1"/>
    <xf numFmtId="14" fontId="4" fillId="3" borderId="4" xfId="0" applyNumberFormat="1" applyFont="1" applyFill="1" applyBorder="1"/>
    <xf numFmtId="0" fontId="3" fillId="0" borderId="5" xfId="0" applyFont="1" applyBorder="1"/>
    <xf numFmtId="0" fontId="5" fillId="3" borderId="6" xfId="0" applyFont="1" applyFill="1" applyBorder="1" applyAlignment="1">
      <alignment horizontal="right"/>
    </xf>
    <xf numFmtId="14" fontId="0" fillId="0" borderId="0" xfId="0" applyNumberFormat="1"/>
    <xf numFmtId="0" fontId="0" fillId="4" borderId="8" xfId="0" applyFill="1" applyBorder="1"/>
    <xf numFmtId="0" fontId="6" fillId="0" borderId="9" xfId="0" applyFont="1" applyBorder="1"/>
    <xf numFmtId="0" fontId="0" fillId="0" borderId="8" xfId="0" applyBorder="1"/>
    <xf numFmtId="0" fontId="3" fillId="0" borderId="0" xfId="0" applyFont="1" applyAlignment="1">
      <alignment horizontal="center"/>
    </xf>
    <xf numFmtId="0" fontId="3" fillId="3" borderId="10" xfId="0" applyFont="1" applyFill="1" applyBorder="1"/>
    <xf numFmtId="164" fontId="3" fillId="5" borderId="11" xfId="0" applyNumberFormat="1" applyFont="1" applyFill="1" applyBorder="1"/>
    <xf numFmtId="0" fontId="3" fillId="3" borderId="12" xfId="0" applyFont="1" applyFill="1" applyBorder="1"/>
    <xf numFmtId="0" fontId="3" fillId="0" borderId="13" xfId="0" applyFont="1" applyBorder="1"/>
    <xf numFmtId="0" fontId="3" fillId="3" borderId="14" xfId="0" applyFont="1" applyFill="1" applyBorder="1"/>
    <xf numFmtId="164" fontId="3" fillId="3" borderId="15" xfId="0" applyNumberFormat="1" applyFont="1" applyFill="1" applyBorder="1"/>
    <xf numFmtId="0" fontId="6" fillId="0" borderId="0" xfId="0" applyFont="1"/>
    <xf numFmtId="0" fontId="2" fillId="4" borderId="12" xfId="0" applyFont="1" applyFill="1" applyBorder="1" applyAlignment="1">
      <alignment vertical="top" wrapText="1"/>
    </xf>
    <xf numFmtId="0" fontId="0" fillId="4" borderId="16" xfId="0" applyFill="1" applyBorder="1"/>
    <xf numFmtId="0" fontId="2" fillId="4" borderId="16" xfId="0" applyFont="1" applyFill="1" applyBorder="1"/>
    <xf numFmtId="3" fontId="2" fillId="4" borderId="16" xfId="0" applyNumberFormat="1" applyFont="1" applyFill="1" applyBorder="1"/>
    <xf numFmtId="0" fontId="2" fillId="4" borderId="13" xfId="0" applyFont="1" applyFill="1" applyBorder="1" applyAlignment="1">
      <alignment horizontal="right"/>
    </xf>
    <xf numFmtId="0" fontId="2" fillId="4" borderId="14" xfId="0" applyFont="1" applyFill="1" applyBorder="1" applyAlignment="1">
      <alignment vertical="top" wrapText="1"/>
    </xf>
    <xf numFmtId="0" fontId="0" fillId="4" borderId="17" xfId="0" applyFill="1" applyBorder="1"/>
    <xf numFmtId="0" fontId="2" fillId="4" borderId="17" xfId="0" applyFont="1" applyFill="1" applyBorder="1"/>
    <xf numFmtId="0" fontId="2" fillId="4" borderId="15" xfId="0" applyFont="1" applyFill="1" applyBorder="1" applyAlignment="1">
      <alignment horizontal="right"/>
    </xf>
    <xf numFmtId="0" fontId="1" fillId="6" borderId="10" xfId="0" applyFont="1" applyFill="1" applyBorder="1" applyAlignment="1">
      <alignment vertical="top" wrapText="1"/>
    </xf>
    <xf numFmtId="0" fontId="1" fillId="6" borderId="18" xfId="0" applyFont="1" applyFill="1" applyBorder="1"/>
    <xf numFmtId="0" fontId="1" fillId="6" borderId="11" xfId="0" applyFont="1" applyFill="1" applyBorder="1"/>
    <xf numFmtId="0" fontId="2" fillId="0" borderId="0" xfId="0" applyFont="1"/>
    <xf numFmtId="0" fontId="10" fillId="3" borderId="7" xfId="0" applyFont="1" applyFill="1" applyBorder="1" applyAlignment="1">
      <alignment horizontal="left"/>
    </xf>
    <xf numFmtId="0" fontId="11" fillId="0" borderId="0" xfId="0" applyFont="1"/>
    <xf numFmtId="0" fontId="4" fillId="0" borderId="0" xfId="0" applyFont="1"/>
    <xf numFmtId="0" fontId="12" fillId="0" borderId="3" xfId="0" applyFont="1" applyBorder="1"/>
    <xf numFmtId="0" fontId="3" fillId="0" borderId="0" xfId="0" applyFont="1"/>
    <xf numFmtId="0" fontId="0" fillId="7" borderId="0" xfId="0" applyFill="1"/>
    <xf numFmtId="0" fontId="2" fillId="0" borderId="9" xfId="0" applyFont="1" applyBorder="1"/>
    <xf numFmtId="0" fontId="0" fillId="0" borderId="16" xfId="0" applyBorder="1"/>
    <xf numFmtId="0" fontId="3" fillId="2" borderId="16" xfId="0" applyFont="1" applyFill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Drop" dropStyle="combo" dx="16" fmlaLink="A11" fmlaRange="DIAS" sel="3" val="0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CheckBox" checked="Checked" fmlaLink="$A$47" lockText="1"/>
</file>

<file path=xl/ctrlProps/ctrlProp4.xml><?xml version="1.0" encoding="utf-8"?>
<formControlPr xmlns="http://schemas.microsoft.com/office/spreadsheetml/2009/9/main" objectType="List" dx="16" fmlaLink="$A$21" fmlaRange="Meses" sel="2" val="0"/>
</file>

<file path=xl/ctrlProps/ctrlProp5.xml><?xml version="1.0" encoding="utf-8"?>
<formControlPr xmlns="http://schemas.microsoft.com/office/spreadsheetml/2009/9/main" objectType="Scroll" dx="15" fmlaLink="$A$7" horiz="1" max="30" page="10" val="18"/>
</file>

<file path=xl/ctrlProps/ctrlProp6.xml><?xml version="1.0" encoding="utf-8"?>
<formControlPr xmlns="http://schemas.microsoft.com/office/spreadsheetml/2009/9/main" objectType="Scroll" dx="15" horiz="1" max="50" page="10" val="42"/>
</file>

<file path=xl/ctrlProps/ctrlProp7.xml><?xml version="1.0" encoding="utf-8"?>
<formControlPr xmlns="http://schemas.microsoft.com/office/spreadsheetml/2009/9/main" objectType="Radio" checked="Checked" firstButton="1" fmlaLink="$A$35" lockText="1"/>
</file>

<file path=xl/ctrlProps/ctrlProp8.xml><?xml version="1.0" encoding="utf-8"?>
<formControlPr xmlns="http://schemas.microsoft.com/office/spreadsheetml/2009/9/main" objectType="Radio" lockText="1"/>
</file>

<file path=xl/ctrlProps/ctrlProp9.xml><?xml version="1.0" encoding="utf-8"?>
<formControlPr xmlns="http://schemas.microsoft.com/office/spreadsheetml/2009/9/main" objectType="Label" lockText="1"/>
</file>

<file path=xl/ctrlProps/ctrlProp10.xml><?xml version="1.0" encoding="utf-8"?>
<formControlPr xmlns="http://schemas.microsoft.com/office/spreadsheetml/2009/9/main" objectType="Spin" dx="16" fmlaLink="$C$58" max="60" page="10" val="5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12</xdr:row>
          <xdr:rowOff>142875</xdr:rowOff>
        </xdr:from>
        <xdr:to>
          <xdr:col>3</xdr:col>
          <xdr:colOff>762000</xdr:colOff>
          <xdr:row>14</xdr:row>
          <xdr:rowOff>19050</xdr:rowOff>
        </xdr:to>
        <xdr:sp macro="" textlink="">
          <xdr:nvSpPr>
            <xdr:cNvPr id="1025" name="Drop Dow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47</xdr:row>
          <xdr:rowOff>104775</xdr:rowOff>
        </xdr:from>
        <xdr:to>
          <xdr:col>2</xdr:col>
          <xdr:colOff>352425</xdr:colOff>
          <xdr:row>50</xdr:row>
          <xdr:rowOff>66675</xdr:rowOff>
        </xdr:to>
        <xdr:sp macro="" textlink="">
          <xdr:nvSpPr>
            <xdr:cNvPr id="1026" name="Group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PAGO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48</xdr:row>
          <xdr:rowOff>47625</xdr:rowOff>
        </xdr:from>
        <xdr:to>
          <xdr:col>2</xdr:col>
          <xdr:colOff>314325</xdr:colOff>
          <xdr:row>49</xdr:row>
          <xdr:rowOff>104775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Paga Cuota Inicial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22</xdr:row>
          <xdr:rowOff>38100</xdr:rowOff>
        </xdr:from>
        <xdr:to>
          <xdr:col>4</xdr:col>
          <xdr:colOff>19050</xdr:colOff>
          <xdr:row>26</xdr:row>
          <xdr:rowOff>123825</xdr:rowOff>
        </xdr:to>
        <xdr:sp macro="" textlink="">
          <xdr:nvSpPr>
            <xdr:cNvPr id="1028" name="List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152400</xdr:rowOff>
        </xdr:from>
        <xdr:to>
          <xdr:col>2</xdr:col>
          <xdr:colOff>790575</xdr:colOff>
          <xdr:row>8</xdr:row>
          <xdr:rowOff>142875</xdr:rowOff>
        </xdr:to>
        <xdr:sp macro="" textlink="">
          <xdr:nvSpPr>
            <xdr:cNvPr id="1029" name="Scroll Bar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7</xdr:row>
          <xdr:rowOff>28575</xdr:rowOff>
        </xdr:from>
        <xdr:to>
          <xdr:col>6</xdr:col>
          <xdr:colOff>295275</xdr:colOff>
          <xdr:row>8</xdr:row>
          <xdr:rowOff>19050</xdr:rowOff>
        </xdr:to>
        <xdr:sp macro="" textlink="">
          <xdr:nvSpPr>
            <xdr:cNvPr id="1030" name="Scroll Bar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35</xdr:row>
          <xdr:rowOff>19050</xdr:rowOff>
        </xdr:from>
        <xdr:to>
          <xdr:col>1</xdr:col>
          <xdr:colOff>828675</xdr:colOff>
          <xdr:row>36</xdr:row>
          <xdr:rowOff>76200</xdr:rowOff>
        </xdr:to>
        <xdr:sp macro="" textlink="">
          <xdr:nvSpPr>
            <xdr:cNvPr id="1031" name="Option 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Pagante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36</xdr:row>
          <xdr:rowOff>76200</xdr:rowOff>
        </xdr:from>
        <xdr:to>
          <xdr:col>2</xdr:col>
          <xdr:colOff>0</xdr:colOff>
          <xdr:row>38</xdr:row>
          <xdr:rowOff>0</xdr:rowOff>
        </xdr:to>
        <xdr:sp macro="" textlink="">
          <xdr:nvSpPr>
            <xdr:cNvPr id="1032" name="Option 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Becado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3</xdr:row>
          <xdr:rowOff>28575</xdr:rowOff>
        </xdr:from>
        <xdr:to>
          <xdr:col>9</xdr:col>
          <xdr:colOff>400050</xdr:colOff>
          <xdr:row>4</xdr:row>
          <xdr:rowOff>28575</xdr:rowOff>
        </xdr:to>
        <xdr:sp macro="" textlink="">
          <xdr:nvSpPr>
            <xdr:cNvPr id="1034" name="Label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Datos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</xdr:colOff>
          <xdr:row>57</xdr:row>
          <xdr:rowOff>19050</xdr:rowOff>
        </xdr:from>
        <xdr:to>
          <xdr:col>1</xdr:col>
          <xdr:colOff>828675</xdr:colOff>
          <xdr:row>58</xdr:row>
          <xdr:rowOff>123825</xdr:rowOff>
        </xdr:to>
        <xdr:sp macro="" textlink="">
          <xdr:nvSpPr>
            <xdr:cNvPr id="1035" name="Spinner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276225</xdr:colOff>
      <xdr:row>3</xdr:row>
      <xdr:rowOff>0</xdr:rowOff>
    </xdr:from>
    <xdr:to>
      <xdr:col>4</xdr:col>
      <xdr:colOff>647700</xdr:colOff>
      <xdr:row>5</xdr:row>
      <xdr:rowOff>19050</xdr:rowOff>
    </xdr:to>
    <xdr:sp macro="" textlink="">
      <xdr:nvSpPr>
        <xdr:cNvPr id="2" name="1 Flecha doblada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562225" y="485775"/>
          <a:ext cx="1133475" cy="342900"/>
        </a:xfrm>
        <a:prstGeom prst="ben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0</xdr:colOff>
      <xdr:row>3</xdr:row>
      <xdr:rowOff>0</xdr:rowOff>
    </xdr:from>
    <xdr:to>
      <xdr:col>6</xdr:col>
      <xdr:colOff>9525</xdr:colOff>
      <xdr:row>4</xdr:row>
      <xdr:rowOff>19050</xdr:rowOff>
    </xdr:to>
    <xdr:sp macro="" textlink="">
      <xdr:nvSpPr>
        <xdr:cNvPr id="4" name="3 Rectángulo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3810000" y="485775"/>
          <a:ext cx="771525" cy="180975"/>
        </a:xfrm>
        <a:prstGeom prst="rect">
          <a:avLst/>
        </a:prstGeom>
        <a:solidFill>
          <a:srgbClr val="FFFF00"/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685799</xdr:colOff>
      <xdr:row>6</xdr:row>
      <xdr:rowOff>9525</xdr:rowOff>
    </xdr:from>
    <xdr:to>
      <xdr:col>4</xdr:col>
      <xdr:colOff>9524</xdr:colOff>
      <xdr:row>7</xdr:row>
      <xdr:rowOff>104775</xdr:rowOff>
    </xdr:to>
    <xdr:sp macro="" textlink="">
      <xdr:nvSpPr>
        <xdr:cNvPr id="5" name="4 Bisel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2209799" y="981075"/>
          <a:ext cx="847725" cy="257175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G58"/>
  <sheetViews>
    <sheetView topLeftCell="A34" workbookViewId="0">
      <selection activeCell="F57" sqref="F57"/>
    </sheetView>
  </sheetViews>
  <sheetFormatPr defaultColWidth="11.42578125" defaultRowHeight="12.75"/>
  <cols>
    <col min="1" max="1" width="16" customWidth="1"/>
    <col min="2" max="2" width="12.85546875" customWidth="1"/>
    <col min="3" max="3" width="17.140625" customWidth="1"/>
    <col min="4" max="4" width="13.140625" bestFit="1" customWidth="1"/>
    <col min="5" max="6" width="13.140625" customWidth="1"/>
    <col min="7" max="7" width="9.85546875" customWidth="1"/>
  </cols>
  <sheetData>
    <row r="1" spans="1:7">
      <c r="A1" s="30" t="s">
        <v>0</v>
      </c>
    </row>
    <row r="2" spans="1:7">
      <c r="A2" s="30" t="s">
        <v>1</v>
      </c>
    </row>
    <row r="5" spans="1:7">
      <c r="A5" t="s">
        <v>2</v>
      </c>
      <c r="B5" s="1" t="s">
        <v>3</v>
      </c>
      <c r="C5" s="2"/>
    </row>
    <row r="6" spans="1:7" ht="13.5" thickBot="1"/>
    <row r="7" spans="1:7" ht="21" thickBot="1">
      <c r="A7">
        <v>18</v>
      </c>
      <c r="B7" s="34" t="s">
        <v>4</v>
      </c>
      <c r="C7" s="3">
        <f ca="1">A9+A7</f>
        <v>40566</v>
      </c>
      <c r="E7" s="4" t="s">
        <v>5</v>
      </c>
      <c r="F7" s="5" t="s">
        <v>6</v>
      </c>
      <c r="G7" s="31"/>
    </row>
    <row r="9" spans="1:7">
      <c r="A9" s="6">
        <f ca="1">TODAY()</f>
        <v>40548</v>
      </c>
    </row>
    <row r="10" spans="1:7" ht="13.5" thickBot="1"/>
    <row r="11" spans="1:7">
      <c r="A11">
        <v>3</v>
      </c>
      <c r="B11" s="1" t="s">
        <v>7</v>
      </c>
      <c r="C11" s="2"/>
      <c r="D11" s="7" t="s">
        <v>8</v>
      </c>
    </row>
    <row r="12" spans="1:7" ht="13.5" thickBot="1">
      <c r="B12" t="s">
        <v>9</v>
      </c>
      <c r="D12" s="8" t="str">
        <f>INDEX(DIAS,A11,1)</f>
        <v>MIÉRCOLES</v>
      </c>
      <c r="E12" s="17"/>
      <c r="F12" s="17"/>
    </row>
    <row r="13" spans="1:7">
      <c r="B13" t="s">
        <v>10</v>
      </c>
    </row>
    <row r="14" spans="1:7">
      <c r="B14" t="s">
        <v>11</v>
      </c>
    </row>
    <row r="15" spans="1:7">
      <c r="B15" t="s">
        <v>12</v>
      </c>
    </row>
    <row r="16" spans="1:7">
      <c r="B16" t="s">
        <v>13</v>
      </c>
    </row>
    <row r="17" spans="1:4">
      <c r="B17" t="s">
        <v>14</v>
      </c>
    </row>
    <row r="18" spans="1:4">
      <c r="B18" t="s">
        <v>15</v>
      </c>
    </row>
    <row r="20" spans="1:4" ht="13.5" thickBot="1"/>
    <row r="21" spans="1:4">
      <c r="A21" s="36">
        <v>2</v>
      </c>
      <c r="B21" s="1" t="s">
        <v>16</v>
      </c>
      <c r="C21" s="2"/>
      <c r="D21" s="9" t="s">
        <v>17</v>
      </c>
    </row>
    <row r="22" spans="1:4" ht="13.5" thickBot="1">
      <c r="B22" t="s">
        <v>18</v>
      </c>
      <c r="D22" s="37" t="str">
        <f>INDEX(Meses,A21,1)</f>
        <v>FEBRERO</v>
      </c>
    </row>
    <row r="23" spans="1:4">
      <c r="B23" t="s">
        <v>19</v>
      </c>
    </row>
    <row r="24" spans="1:4">
      <c r="B24" t="s">
        <v>20</v>
      </c>
    </row>
    <row r="25" spans="1:4">
      <c r="B25" t="s">
        <v>21</v>
      </c>
    </row>
    <row r="26" spans="1:4">
      <c r="B26" t="s">
        <v>22</v>
      </c>
    </row>
    <row r="27" spans="1:4">
      <c r="B27" t="s">
        <v>23</v>
      </c>
    </row>
    <row r="28" spans="1:4">
      <c r="B28" t="s">
        <v>24</v>
      </c>
    </row>
    <row r="29" spans="1:4">
      <c r="B29" t="s">
        <v>25</v>
      </c>
    </row>
    <row r="30" spans="1:4">
      <c r="B30" t="s">
        <v>26</v>
      </c>
    </row>
    <row r="31" spans="1:4">
      <c r="B31" t="s">
        <v>27</v>
      </c>
    </row>
    <row r="32" spans="1:4">
      <c r="B32" t="s">
        <v>28</v>
      </c>
    </row>
    <row r="33" spans="1:6">
      <c r="B33" t="s">
        <v>29</v>
      </c>
    </row>
    <row r="35" spans="1:6">
      <c r="A35" s="36">
        <v>1</v>
      </c>
      <c r="B35" s="1" t="s">
        <v>30</v>
      </c>
      <c r="C35" s="2"/>
      <c r="D35" t="s">
        <v>31</v>
      </c>
    </row>
    <row r="36" spans="1:6">
      <c r="D36" t="str">
        <f>IF(A35=1,"Pagante","Becado")</f>
        <v>Pagante</v>
      </c>
    </row>
    <row r="37" spans="1:6">
      <c r="C37" s="10"/>
    </row>
    <row r="42" spans="1:6">
      <c r="B42" s="1" t="s">
        <v>32</v>
      </c>
      <c r="C42" s="2"/>
    </row>
    <row r="43" spans="1:6" ht="13.5" thickBot="1"/>
    <row r="44" spans="1:6">
      <c r="C44" s="11" t="s">
        <v>33</v>
      </c>
      <c r="D44" s="12">
        <v>8500</v>
      </c>
    </row>
    <row r="45" spans="1:6">
      <c r="C45" s="13" t="s">
        <v>34</v>
      </c>
      <c r="D45" s="38">
        <f>IF(A47,20%*D44,0)</f>
        <v>1700</v>
      </c>
    </row>
    <row r="46" spans="1:6">
      <c r="B46" t="s">
        <v>35</v>
      </c>
      <c r="C46" s="13" t="s">
        <v>36</v>
      </c>
      <c r="D46" s="14">
        <v>3</v>
      </c>
      <c r="E46" s="35"/>
      <c r="F46" s="35"/>
    </row>
    <row r="47" spans="1:6" ht="13.5" thickBot="1">
      <c r="A47" s="36" t="b">
        <v>1</v>
      </c>
      <c r="C47" s="15" t="s">
        <v>37</v>
      </c>
      <c r="D47" s="16">
        <f>(D44-D45)/D46</f>
        <v>2266.6666666666665</v>
      </c>
    </row>
    <row r="48" spans="1:6">
      <c r="C48" t="s">
        <v>35</v>
      </c>
    </row>
    <row r="49" spans="2:6">
      <c r="D49" t="s">
        <v>35</v>
      </c>
    </row>
    <row r="50" spans="2:6">
      <c r="D50" s="17" t="s">
        <v>35</v>
      </c>
      <c r="E50" s="17"/>
      <c r="F50" s="17"/>
    </row>
    <row r="55" spans="2:6">
      <c r="B55" s="1" t="s">
        <v>38</v>
      </c>
      <c r="C55" s="39"/>
    </row>
    <row r="57" spans="2:6">
      <c r="C57" s="30" t="s">
        <v>39</v>
      </c>
    </row>
    <row r="58" spans="2:6">
      <c r="C58" s="36">
        <v>5</v>
      </c>
    </row>
  </sheetData>
  <phoneticPr fontId="0" type="noConversion"/>
  <pageMargins left="0.75" right="0.75" top="1" bottom="1" header="0" footer="0"/>
  <pageSetup orientation="portrait" horizontalDpi="180" verticalDpi="18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Drop Down 1">
              <controlPr defaultSize="0" autoLine="0" autoPict="0">
                <anchor moveWithCells="1">
                  <from>
                    <xdr:col>3</xdr:col>
                    <xdr:colOff>0</xdr:colOff>
                    <xdr:row>12</xdr:row>
                    <xdr:rowOff>142875</xdr:rowOff>
                  </from>
                  <to>
                    <xdr:col>3</xdr:col>
                    <xdr:colOff>762000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Group Box 2">
              <controlPr defaultSize="0" autoFill="0" autoPict="0">
                <anchor moveWithCells="1">
                  <from>
                    <xdr:col>1</xdr:col>
                    <xdr:colOff>19050</xdr:colOff>
                    <xdr:row>47</xdr:row>
                    <xdr:rowOff>104775</xdr:rowOff>
                  </from>
                  <to>
                    <xdr:col>2</xdr:col>
                    <xdr:colOff>352425</xdr:colOff>
                    <xdr:row>50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eck Box 3">
              <controlPr defaultSize="0" autoFill="0" autoLine="0" autoPict="0">
                <anchor moveWithCells="1">
                  <from>
                    <xdr:col>1</xdr:col>
                    <xdr:colOff>114300</xdr:colOff>
                    <xdr:row>48</xdr:row>
                    <xdr:rowOff>47625</xdr:rowOff>
                  </from>
                  <to>
                    <xdr:col>2</xdr:col>
                    <xdr:colOff>314325</xdr:colOff>
                    <xdr:row>49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List Box 4">
              <controlPr defaultSize="0" autoLine="0" autoPict="0">
                <anchor moveWithCells="1">
                  <from>
                    <xdr:col>3</xdr:col>
                    <xdr:colOff>0</xdr:colOff>
                    <xdr:row>22</xdr:row>
                    <xdr:rowOff>38100</xdr:rowOff>
                  </from>
                  <to>
                    <xdr:col>4</xdr:col>
                    <xdr:colOff>19050</xdr:colOff>
                    <xdr:row>26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Scroll Bar 5">
              <controlPr defaultSize="0" autoPict="0">
                <anchor moveWithCells="1">
                  <from>
                    <xdr:col>2</xdr:col>
                    <xdr:colOff>9525</xdr:colOff>
                    <xdr:row>7</xdr:row>
                    <xdr:rowOff>152400</xdr:rowOff>
                  </from>
                  <to>
                    <xdr:col>2</xdr:col>
                    <xdr:colOff>790575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Scroll Bar 6">
              <controlPr defaultSize="0" autoPict="0">
                <anchor moveWithCells="1">
                  <from>
                    <xdr:col>5</xdr:col>
                    <xdr:colOff>333375</xdr:colOff>
                    <xdr:row>7</xdr:row>
                    <xdr:rowOff>28575</xdr:rowOff>
                  </from>
                  <to>
                    <xdr:col>6</xdr:col>
                    <xdr:colOff>295275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Option Button 7">
              <controlPr defaultSize="0" autoFill="0" autoLine="0" autoPict="0">
                <anchor moveWithCells="1">
                  <from>
                    <xdr:col>1</xdr:col>
                    <xdr:colOff>161925</xdr:colOff>
                    <xdr:row>35</xdr:row>
                    <xdr:rowOff>19050</xdr:rowOff>
                  </from>
                  <to>
                    <xdr:col>1</xdr:col>
                    <xdr:colOff>828675</xdr:colOff>
                    <xdr:row>36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Option Button 8">
              <controlPr defaultSize="0" autoFill="0" autoLine="0" autoPict="0">
                <anchor moveWithCells="1">
                  <from>
                    <xdr:col>1</xdr:col>
                    <xdr:colOff>161925</xdr:colOff>
                    <xdr:row>36</xdr:row>
                    <xdr:rowOff>76200</xdr:rowOff>
                  </from>
                  <to>
                    <xdr:col>2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Label 10">
              <controlPr defaultSize="0" autoFill="0" autoLine="0" autoPict="0">
                <anchor moveWithCells="1" sizeWithCells="1">
                  <from>
                    <xdr:col>9</xdr:col>
                    <xdr:colOff>19050</xdr:colOff>
                    <xdr:row>3</xdr:row>
                    <xdr:rowOff>28575</xdr:rowOff>
                  </from>
                  <to>
                    <xdr:col>9</xdr:col>
                    <xdr:colOff>400050</xdr:colOff>
                    <xdr:row>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3" name="Spinner 11">
              <controlPr defaultSize="0" autoPict="0">
                <anchor moveWithCells="1" sizeWithCells="1">
                  <from>
                    <xdr:col>1</xdr:col>
                    <xdr:colOff>581025</xdr:colOff>
                    <xdr:row>57</xdr:row>
                    <xdr:rowOff>19050</xdr:rowOff>
                  </from>
                  <to>
                    <xdr:col>1</xdr:col>
                    <xdr:colOff>828675</xdr:colOff>
                    <xdr:row>58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D3:G11"/>
  <sheetViews>
    <sheetView showGridLines="0" workbookViewId="0">
      <selection activeCell="L19" sqref="L19"/>
    </sheetView>
  </sheetViews>
  <sheetFormatPr defaultColWidth="11.42578125" defaultRowHeight="12.75"/>
  <sheetData>
    <row r="3" spans="4:7">
      <c r="E3" s="30" t="s">
        <v>40</v>
      </c>
    </row>
    <row r="4" spans="4:7">
      <c r="G4" s="30" t="s">
        <v>41</v>
      </c>
    </row>
    <row r="9" spans="4:7" ht="18">
      <c r="D9" s="33" t="s">
        <v>42</v>
      </c>
    </row>
    <row r="11" spans="4:7" ht="15">
      <c r="D11" s="32" t="s">
        <v>43</v>
      </c>
    </row>
  </sheetData>
  <phoneticPr fontId="9" type="noConversion"/>
  <pageMargins left="0.75" right="0.75" top="1" bottom="1" header="0" footer="0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"/>
  <sheetViews>
    <sheetView workbookViewId="0"/>
  </sheetViews>
  <sheetFormatPr defaultColWidth="11.42578125" defaultRowHeight="12.75"/>
  <sheetData/>
  <phoneticPr fontId="9" type="noConversion"/>
  <pageMargins left="0.75" right="0.75" top="1" bottom="1" header="0" footer="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2:L21"/>
  <sheetViews>
    <sheetView tabSelected="1" workbookViewId="0">
      <selection activeCell="M16" sqref="M16"/>
    </sheetView>
  </sheetViews>
  <sheetFormatPr defaultColWidth="11.42578125" defaultRowHeight="12.75"/>
  <cols>
    <col min="1" max="1" width="6.5703125" bestFit="1" customWidth="1"/>
    <col min="2" max="2" width="10.28515625" customWidth="1"/>
    <col min="3" max="3" width="15.28515625" bestFit="1" customWidth="1"/>
    <col min="4" max="4" width="13" customWidth="1"/>
    <col min="5" max="5" width="7" bestFit="1" customWidth="1"/>
    <col min="6" max="6" width="7.5703125" bestFit="1" customWidth="1"/>
    <col min="7" max="7" width="5.140625" bestFit="1" customWidth="1"/>
    <col min="8" max="8" width="6.5703125" bestFit="1" customWidth="1"/>
    <col min="9" max="9" width="5" bestFit="1" customWidth="1"/>
  </cols>
  <sheetData>
    <row r="2" spans="1:12">
      <c r="B2" t="s">
        <v>44</v>
      </c>
    </row>
    <row r="3" spans="1:12" ht="13.5" thickBot="1"/>
    <row r="4" spans="1:12">
      <c r="A4" s="27" t="s">
        <v>45</v>
      </c>
      <c r="B4" s="28" t="s">
        <v>46</v>
      </c>
      <c r="C4" s="28" t="s">
        <v>47</v>
      </c>
      <c r="D4" s="28" t="s">
        <v>48</v>
      </c>
      <c r="E4" s="28" t="s">
        <v>49</v>
      </c>
      <c r="F4" s="28" t="s">
        <v>50</v>
      </c>
      <c r="G4" s="28" t="s">
        <v>51</v>
      </c>
      <c r="H4" s="28" t="s">
        <v>52</v>
      </c>
      <c r="I4" s="29" t="s">
        <v>53</v>
      </c>
    </row>
    <row r="5" spans="1:12">
      <c r="A5" s="18">
        <v>1001</v>
      </c>
      <c r="B5" s="19" t="s">
        <v>54</v>
      </c>
      <c r="C5" s="19" t="s">
        <v>55</v>
      </c>
      <c r="D5" s="19" t="s">
        <v>56</v>
      </c>
      <c r="E5" s="20" t="s">
        <v>57</v>
      </c>
      <c r="F5" s="20" t="s">
        <v>58</v>
      </c>
      <c r="G5" s="20" t="s">
        <v>59</v>
      </c>
      <c r="H5" s="21">
        <v>3290</v>
      </c>
      <c r="I5" s="22">
        <v>45</v>
      </c>
    </row>
    <row r="6" spans="1:12">
      <c r="A6" s="18">
        <v>1005</v>
      </c>
      <c r="B6" s="19" t="s">
        <v>60</v>
      </c>
      <c r="C6" s="19" t="s">
        <v>61</v>
      </c>
      <c r="D6" s="19" t="s">
        <v>62</v>
      </c>
      <c r="E6" s="20" t="s">
        <v>63</v>
      </c>
      <c r="F6" s="20" t="s">
        <v>64</v>
      </c>
      <c r="G6" s="20" t="s">
        <v>65</v>
      </c>
      <c r="H6" s="21">
        <v>3600</v>
      </c>
      <c r="I6" s="22">
        <v>35</v>
      </c>
    </row>
    <row r="7" spans="1:12">
      <c r="A7" s="18">
        <v>1010</v>
      </c>
      <c r="B7" s="19" t="s">
        <v>66</v>
      </c>
      <c r="C7" s="19" t="s">
        <v>67</v>
      </c>
      <c r="D7" s="19" t="s">
        <v>68</v>
      </c>
      <c r="E7" s="20" t="s">
        <v>63</v>
      </c>
      <c r="F7" s="20" t="s">
        <v>64</v>
      </c>
      <c r="G7" s="20" t="s">
        <v>65</v>
      </c>
      <c r="H7" s="21">
        <v>2200</v>
      </c>
      <c r="I7" s="22">
        <v>25</v>
      </c>
    </row>
    <row r="8" spans="1:12">
      <c r="A8" s="18">
        <v>1020</v>
      </c>
      <c r="B8" s="19" t="s">
        <v>69</v>
      </c>
      <c r="C8" s="19" t="s">
        <v>70</v>
      </c>
      <c r="D8" s="19" t="s">
        <v>71</v>
      </c>
      <c r="E8" s="20" t="s">
        <v>63</v>
      </c>
      <c r="F8" s="20" t="s">
        <v>64</v>
      </c>
      <c r="G8" s="20" t="s">
        <v>59</v>
      </c>
      <c r="H8" s="21">
        <v>3300</v>
      </c>
      <c r="I8" s="22">
        <v>30</v>
      </c>
    </row>
    <row r="9" spans="1:12">
      <c r="A9" s="18">
        <v>1035</v>
      </c>
      <c r="B9" s="19" t="s">
        <v>72</v>
      </c>
      <c r="C9" s="19" t="s">
        <v>73</v>
      </c>
      <c r="D9" s="19" t="s">
        <v>62</v>
      </c>
      <c r="E9" s="20" t="s">
        <v>57</v>
      </c>
      <c r="F9" s="20" t="s">
        <v>74</v>
      </c>
      <c r="G9" s="20" t="s">
        <v>65</v>
      </c>
      <c r="H9" s="21">
        <v>1250</v>
      </c>
      <c r="I9" s="22">
        <v>21</v>
      </c>
    </row>
    <row r="10" spans="1:12">
      <c r="A10" s="18">
        <v>1050</v>
      </c>
      <c r="B10" s="19" t="s">
        <v>75</v>
      </c>
      <c r="C10" s="19" t="s">
        <v>76</v>
      </c>
      <c r="D10" s="19" t="s">
        <v>77</v>
      </c>
      <c r="E10" s="20" t="s">
        <v>57</v>
      </c>
      <c r="F10" s="20" t="s">
        <v>74</v>
      </c>
      <c r="G10" s="20" t="s">
        <v>65</v>
      </c>
      <c r="H10" s="21">
        <v>2200</v>
      </c>
      <c r="I10" s="22">
        <v>36</v>
      </c>
    </row>
    <row r="11" spans="1:12">
      <c r="A11" s="18">
        <v>1060</v>
      </c>
      <c r="B11" s="19" t="s">
        <v>78</v>
      </c>
      <c r="C11" s="19" t="s">
        <v>72</v>
      </c>
      <c r="D11" s="19" t="s">
        <v>79</v>
      </c>
      <c r="E11" s="20" t="s">
        <v>57</v>
      </c>
      <c r="F11" s="20" t="s">
        <v>74</v>
      </c>
      <c r="G11" s="20" t="s">
        <v>59</v>
      </c>
      <c r="H11" s="21">
        <v>1400</v>
      </c>
      <c r="I11" s="22">
        <v>21</v>
      </c>
    </row>
    <row r="12" spans="1:12">
      <c r="A12" s="18">
        <v>1065</v>
      </c>
      <c r="B12" s="19" t="s">
        <v>80</v>
      </c>
      <c r="C12" s="19" t="s">
        <v>81</v>
      </c>
      <c r="D12" s="19" t="s">
        <v>82</v>
      </c>
      <c r="E12" s="20" t="s">
        <v>57</v>
      </c>
      <c r="F12" s="20" t="s">
        <v>74</v>
      </c>
      <c r="G12" s="20" t="s">
        <v>65</v>
      </c>
      <c r="H12" s="21">
        <v>3700</v>
      </c>
      <c r="I12" s="22">
        <v>41</v>
      </c>
    </row>
    <row r="13" spans="1:12">
      <c r="A13" s="18">
        <v>1070</v>
      </c>
      <c r="B13" s="19" t="s">
        <v>83</v>
      </c>
      <c r="C13" s="19" t="s">
        <v>84</v>
      </c>
      <c r="D13" s="19" t="s">
        <v>85</v>
      </c>
      <c r="E13" s="20" t="s">
        <v>86</v>
      </c>
      <c r="F13" s="20" t="s">
        <v>87</v>
      </c>
      <c r="G13" s="20" t="s">
        <v>65</v>
      </c>
      <c r="H13" s="21">
        <v>1360</v>
      </c>
      <c r="I13" s="22">
        <v>28</v>
      </c>
      <c r="L13" s="30" t="s">
        <v>88</v>
      </c>
    </row>
    <row r="14" spans="1:12">
      <c r="A14" s="18">
        <v>1075</v>
      </c>
      <c r="B14" s="19" t="s">
        <v>60</v>
      </c>
      <c r="C14" s="19" t="s">
        <v>75</v>
      </c>
      <c r="D14" s="19" t="s">
        <v>89</v>
      </c>
      <c r="E14" s="20" t="s">
        <v>86</v>
      </c>
      <c r="F14" s="20" t="s">
        <v>87</v>
      </c>
      <c r="G14" s="20" t="s">
        <v>59</v>
      </c>
      <c r="H14" s="21">
        <v>2600</v>
      </c>
      <c r="I14" s="22">
        <v>46</v>
      </c>
      <c r="L14" s="30" t="s">
        <v>88</v>
      </c>
    </row>
    <row r="15" spans="1:12">
      <c r="A15" s="18">
        <v>1080</v>
      </c>
      <c r="B15" s="19" t="s">
        <v>90</v>
      </c>
      <c r="C15" s="19" t="s">
        <v>91</v>
      </c>
      <c r="D15" s="19" t="s">
        <v>92</v>
      </c>
      <c r="E15" s="20" t="s">
        <v>86</v>
      </c>
      <c r="F15" s="20" t="s">
        <v>87</v>
      </c>
      <c r="G15" s="20" t="s">
        <v>65</v>
      </c>
      <c r="H15" s="21">
        <v>4200</v>
      </c>
      <c r="I15" s="22">
        <v>50</v>
      </c>
      <c r="L15" s="30" t="s">
        <v>88</v>
      </c>
    </row>
    <row r="16" spans="1:12">
      <c r="A16" s="18">
        <v>1090</v>
      </c>
      <c r="B16" s="19" t="s">
        <v>93</v>
      </c>
      <c r="C16" s="19" t="s">
        <v>84</v>
      </c>
      <c r="D16" s="19" t="s">
        <v>94</v>
      </c>
      <c r="E16" s="20" t="s">
        <v>86</v>
      </c>
      <c r="F16" s="20" t="s">
        <v>87</v>
      </c>
      <c r="G16" s="20" t="s">
        <v>59</v>
      </c>
      <c r="H16" s="21">
        <v>2200</v>
      </c>
      <c r="I16" s="22">
        <v>44</v>
      </c>
      <c r="L16" s="30" t="s">
        <v>88</v>
      </c>
    </row>
    <row r="17" spans="1:12">
      <c r="A17" s="18">
        <v>1095</v>
      </c>
      <c r="B17" s="19" t="s">
        <v>91</v>
      </c>
      <c r="C17" s="19" t="s">
        <v>95</v>
      </c>
      <c r="D17" s="19" t="s">
        <v>96</v>
      </c>
      <c r="E17" s="20" t="s">
        <v>86</v>
      </c>
      <c r="F17" s="20" t="s">
        <v>87</v>
      </c>
      <c r="G17" s="20" t="s">
        <v>59</v>
      </c>
      <c r="H17" s="21">
        <v>1300</v>
      </c>
      <c r="I17" s="22">
        <v>26</v>
      </c>
      <c r="L17" s="30" t="s">
        <v>88</v>
      </c>
    </row>
    <row r="18" spans="1:12">
      <c r="A18" s="18">
        <v>1098</v>
      </c>
      <c r="B18" s="19" t="s">
        <v>72</v>
      </c>
      <c r="C18" s="19" t="s">
        <v>97</v>
      </c>
      <c r="D18" s="19" t="s">
        <v>98</v>
      </c>
      <c r="E18" s="20" t="s">
        <v>86</v>
      </c>
      <c r="F18" s="20" t="s">
        <v>99</v>
      </c>
      <c r="G18" s="20" t="s">
        <v>65</v>
      </c>
      <c r="H18" s="21">
        <v>2150</v>
      </c>
      <c r="I18" s="22">
        <v>52</v>
      </c>
      <c r="L18" s="30" t="s">
        <v>88</v>
      </c>
    </row>
    <row r="19" spans="1:12">
      <c r="A19" s="18">
        <v>1101</v>
      </c>
      <c r="B19" s="19" t="s">
        <v>100</v>
      </c>
      <c r="C19" s="19" t="s">
        <v>101</v>
      </c>
      <c r="D19" s="19" t="s">
        <v>102</v>
      </c>
      <c r="E19" s="20" t="s">
        <v>86</v>
      </c>
      <c r="F19" s="20" t="s">
        <v>99</v>
      </c>
      <c r="G19" s="20" t="s">
        <v>59</v>
      </c>
      <c r="H19" s="21">
        <v>2000</v>
      </c>
      <c r="I19" s="22">
        <v>26</v>
      </c>
    </row>
    <row r="20" spans="1:12">
      <c r="A20" s="18">
        <v>1110</v>
      </c>
      <c r="B20" s="19" t="s">
        <v>103</v>
      </c>
      <c r="C20" s="19" t="s">
        <v>80</v>
      </c>
      <c r="D20" s="19" t="s">
        <v>104</v>
      </c>
      <c r="E20" s="20" t="s">
        <v>86</v>
      </c>
      <c r="F20" s="20" t="s">
        <v>99</v>
      </c>
      <c r="G20" s="20" t="s">
        <v>59</v>
      </c>
      <c r="H20" s="20">
        <v>950</v>
      </c>
      <c r="I20" s="22">
        <v>22</v>
      </c>
    </row>
    <row r="21" spans="1:12" ht="13.5" thickBot="1">
      <c r="A21" s="23">
        <v>1120</v>
      </c>
      <c r="B21" s="24" t="s">
        <v>78</v>
      </c>
      <c r="C21" s="24" t="s">
        <v>103</v>
      </c>
      <c r="D21" s="24" t="s">
        <v>105</v>
      </c>
      <c r="E21" s="25" t="s">
        <v>86</v>
      </c>
      <c r="F21" s="25" t="s">
        <v>99</v>
      </c>
      <c r="G21" s="25" t="s">
        <v>65</v>
      </c>
      <c r="H21" s="25">
        <v>825</v>
      </c>
      <c r="I21" s="26">
        <v>28</v>
      </c>
    </row>
  </sheetData>
  <phoneticPr fontId="0" type="noConversion"/>
  <pageMargins left="0.75" right="0.75" top="1" bottom="1" header="0" footer="0"/>
  <pageSetup paperSize="9" orientation="portrait" horizontalDpi="360" verticalDpi="360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CA6AFE6728E5A14C86DF9013CF8ECB33" ma:contentTypeVersion="7" ma:contentTypeDescription="Crear nuevo documento." ma:contentTypeScope="" ma:versionID="c05acd71b173324e237270fcefbf71f4">
  <xsd:schema xmlns:xsd="http://www.w3.org/2001/XMLSchema" xmlns:xs="http://www.w3.org/2001/XMLSchema" xmlns:p="http://schemas.microsoft.com/office/2006/metadata/properties" xmlns:ns2="5d9cb2b7-47f3-45e6-bad8-d6693fc12436" targetNamespace="http://schemas.microsoft.com/office/2006/metadata/properties" ma:root="true" ma:fieldsID="00583bbd5a0d27ad97d013fd622b1786" ns2:_="">
    <xsd:import namespace="5d9cb2b7-47f3-45e6-bad8-d6693fc1243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d9cb2b7-47f3-45e6-bad8-d6693fc1243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779AEBF-5748-4A98-B259-5D16186515AD}"/>
</file>

<file path=customXml/itemProps2.xml><?xml version="1.0" encoding="utf-8"?>
<ds:datastoreItem xmlns:ds="http://schemas.openxmlformats.org/officeDocument/2006/customXml" ds:itemID="{371D577B-A8E3-4854-B606-8752D96ACCDB}"/>
</file>

<file path=customXml/itemProps3.xml><?xml version="1.0" encoding="utf-8"?>
<ds:datastoreItem xmlns:ds="http://schemas.openxmlformats.org/officeDocument/2006/customXml" ds:itemID="{C1365AF7-517F-49D8-87F3-87E02A1FD63D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SENATI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Prog Nacional de Informática</dc:creator>
  <cp:keywords/>
  <dc:description/>
  <cp:lastModifiedBy>PAVEL CESPEDES AGUIRRE</cp:lastModifiedBy>
  <cp:revision/>
  <dcterms:created xsi:type="dcterms:W3CDTF">2002-10-22T19:12:39Z</dcterms:created>
  <dcterms:modified xsi:type="dcterms:W3CDTF">2024-05-30T04:53:08Z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0x010100CA6AFE6728E5A14C86DF9013CF8ECB33</vt:lpwstr>
  </property>
  <property fmtid="{D5CDD505-2E9C-101B-9397-08002B2CF9AE}" pid="3" name="MediaServiceImageTags">
    <vt:lpwstr/>
  </property>
</Properties>
</file>