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90" windowWidth="15195" windowHeight="8100"/>
  </bookViews>
  <sheets>
    <sheet name="Detalle" sheetId="1" r:id="rId1"/>
    <sheet name="Comercial" sheetId="2" r:id="rId2"/>
    <sheet name="Ventas" sheetId="3" r:id="rId3"/>
  </sheets>
  <calcPr calcId="144525"/>
</workbook>
</file>

<file path=xl/calcChain.xml><?xml version="1.0" encoding="utf-8"?>
<calcChain xmlns="http://schemas.openxmlformats.org/spreadsheetml/2006/main">
  <c r="Q41" i="2" l="1"/>
  <c r="M41" i="2"/>
  <c r="I41" i="2"/>
  <c r="E41" i="2"/>
  <c r="R41" i="2" s="1"/>
  <c r="Q40" i="2"/>
  <c r="M40" i="2"/>
  <c r="I40" i="2"/>
  <c r="E40" i="2"/>
  <c r="R40" i="2" s="1"/>
  <c r="Q39" i="2"/>
  <c r="M39" i="2"/>
  <c r="I39" i="2"/>
  <c r="E39" i="2"/>
  <c r="R39" i="2" s="1"/>
  <c r="Q38" i="2"/>
  <c r="M38" i="2"/>
  <c r="I38" i="2"/>
  <c r="E38" i="2"/>
  <c r="R38" i="2" s="1"/>
  <c r="Q37" i="2"/>
  <c r="M37" i="2"/>
  <c r="I37" i="2"/>
  <c r="E37" i="2"/>
  <c r="R37" i="2" s="1"/>
  <c r="Q36" i="2"/>
  <c r="M36" i="2"/>
  <c r="I36" i="2"/>
  <c r="E36" i="2"/>
  <c r="R36" i="2" s="1"/>
  <c r="Q35" i="2"/>
  <c r="M35" i="2"/>
  <c r="I35" i="2"/>
  <c r="E35" i="2"/>
  <c r="R35" i="2" s="1"/>
  <c r="Q34" i="2"/>
  <c r="M34" i="2"/>
  <c r="I34" i="2"/>
  <c r="E34" i="2"/>
  <c r="R34" i="2" s="1"/>
  <c r="Q33" i="2"/>
  <c r="M33" i="2"/>
  <c r="I33" i="2"/>
  <c r="E33" i="2"/>
  <c r="R33" i="2" s="1"/>
  <c r="Q32" i="2"/>
  <c r="M32" i="2"/>
  <c r="I32" i="2"/>
  <c r="E32" i="2"/>
  <c r="R32" i="2" s="1"/>
  <c r="Q31" i="2"/>
  <c r="M31" i="2"/>
  <c r="I31" i="2"/>
  <c r="E31" i="2"/>
  <c r="R31" i="2" s="1"/>
  <c r="Q30" i="2"/>
  <c r="M30" i="2"/>
  <c r="I30" i="2"/>
  <c r="E30" i="2"/>
  <c r="R30" i="2" s="1"/>
  <c r="Q29" i="2"/>
  <c r="M29" i="2"/>
  <c r="I29" i="2"/>
  <c r="E29" i="2"/>
  <c r="R29" i="2" s="1"/>
  <c r="Q28" i="2"/>
  <c r="M28" i="2"/>
  <c r="I28" i="2"/>
  <c r="E28" i="2"/>
  <c r="R28" i="2" s="1"/>
  <c r="Q27" i="2"/>
  <c r="M27" i="2"/>
  <c r="I27" i="2"/>
  <c r="E27" i="2"/>
  <c r="R27" i="2" s="1"/>
  <c r="Q26" i="2"/>
  <c r="M26" i="2"/>
  <c r="I26" i="2"/>
  <c r="E26" i="2"/>
  <c r="R26" i="2" s="1"/>
  <c r="Q25" i="2"/>
  <c r="M25" i="2"/>
  <c r="I25" i="2"/>
  <c r="E25" i="2"/>
  <c r="R25" i="2" s="1"/>
  <c r="Q24" i="2"/>
  <c r="M24" i="2"/>
  <c r="I24" i="2"/>
  <c r="E24" i="2"/>
  <c r="R24" i="2" s="1"/>
  <c r="Q23" i="2"/>
  <c r="M23" i="2"/>
  <c r="I23" i="2"/>
  <c r="E23" i="2"/>
  <c r="R23" i="2" s="1"/>
  <c r="Q22" i="2"/>
  <c r="M22" i="2"/>
  <c r="I22" i="2"/>
  <c r="E22" i="2"/>
  <c r="R22" i="2" s="1"/>
  <c r="Q21" i="2"/>
  <c r="M21" i="2"/>
  <c r="I21" i="2"/>
  <c r="E21" i="2"/>
  <c r="R21" i="2" s="1"/>
  <c r="Q20" i="2"/>
  <c r="M20" i="2"/>
  <c r="I20" i="2"/>
  <c r="E20" i="2"/>
  <c r="R20" i="2" s="1"/>
  <c r="Q19" i="2"/>
  <c r="M19" i="2"/>
  <c r="I19" i="2"/>
  <c r="E19" i="2"/>
  <c r="R19" i="2" s="1"/>
  <c r="Q18" i="2"/>
  <c r="M18" i="2"/>
  <c r="I18" i="2"/>
  <c r="E18" i="2"/>
  <c r="R18" i="2" s="1"/>
  <c r="Q17" i="2"/>
  <c r="M17" i="2"/>
  <c r="I17" i="2"/>
  <c r="E17" i="2"/>
  <c r="R17" i="2" s="1"/>
  <c r="Q16" i="2"/>
  <c r="M16" i="2"/>
  <c r="I16" i="2"/>
  <c r="E16" i="2"/>
  <c r="R16" i="2" s="1"/>
  <c r="Q15" i="2"/>
  <c r="M15" i="2"/>
  <c r="I15" i="2"/>
  <c r="E15" i="2"/>
  <c r="R15" i="2" s="1"/>
  <c r="Q14" i="2"/>
  <c r="M14" i="2"/>
  <c r="I14" i="2"/>
  <c r="E14" i="2"/>
  <c r="R14" i="2" s="1"/>
  <c r="Q13" i="2"/>
  <c r="M13" i="2"/>
  <c r="I13" i="2"/>
  <c r="E13" i="2"/>
  <c r="R13" i="2" s="1"/>
  <c r="Q12" i="2"/>
  <c r="M12" i="2"/>
  <c r="I12" i="2"/>
  <c r="E12" i="2"/>
  <c r="R12" i="2" s="1"/>
  <c r="Q11" i="2"/>
  <c r="M11" i="2"/>
  <c r="I11" i="2"/>
  <c r="E11" i="2"/>
  <c r="R11" i="2" s="1"/>
  <c r="Q10" i="2"/>
  <c r="M10" i="2"/>
  <c r="I10" i="2"/>
  <c r="E10" i="2"/>
  <c r="R10" i="2" s="1"/>
  <c r="Q9" i="2"/>
  <c r="M9" i="2"/>
  <c r="I9" i="2"/>
  <c r="E9" i="2"/>
  <c r="R9" i="2" s="1"/>
  <c r="Q8" i="2"/>
  <c r="M8" i="2"/>
  <c r="I8" i="2"/>
  <c r="E8" i="2"/>
  <c r="R8" i="2" s="1"/>
  <c r="Q7" i="2"/>
  <c r="M7" i="2"/>
  <c r="I7" i="2"/>
  <c r="E7" i="2"/>
  <c r="R7" i="2" s="1"/>
  <c r="Q6" i="2"/>
  <c r="M6" i="2"/>
  <c r="I6" i="2"/>
  <c r="E6" i="2"/>
  <c r="R6" i="2" s="1"/>
</calcChain>
</file>

<file path=xl/sharedStrings.xml><?xml version="1.0" encoding="utf-8"?>
<sst xmlns="http://schemas.openxmlformats.org/spreadsheetml/2006/main" count="324" uniqueCount="106">
  <si>
    <t>VENTAS AL DETALLE</t>
  </si>
  <si>
    <t>Patricia</t>
  </si>
  <si>
    <t>Vendedor</t>
  </si>
  <si>
    <t>Marca</t>
  </si>
  <si>
    <t>Producto</t>
  </si>
  <si>
    <t>Cantidad</t>
  </si>
  <si>
    <t>Facturación</t>
  </si>
  <si>
    <t>Fecha</t>
  </si>
  <si>
    <t>Comisión</t>
  </si>
  <si>
    <t>Remuneración</t>
  </si>
  <si>
    <t>Juan</t>
  </si>
  <si>
    <t>CONSTANCIA</t>
  </si>
  <si>
    <t>Marco</t>
  </si>
  <si>
    <t>CATTIVELLI</t>
  </si>
  <si>
    <t>leche descremada</t>
  </si>
  <si>
    <t>Paula</t>
  </si>
  <si>
    <t>OTTONELO</t>
  </si>
  <si>
    <t>leche entera</t>
  </si>
  <si>
    <t>Isabel</t>
  </si>
  <si>
    <t>SARUBI</t>
  </si>
  <si>
    <t>leonesa</t>
  </si>
  <si>
    <t>Alejandro</t>
  </si>
  <si>
    <t>RAUSA</t>
  </si>
  <si>
    <t>manteca</t>
  </si>
  <si>
    <t>Carla</t>
  </si>
  <si>
    <t>CENTENARIO</t>
  </si>
  <si>
    <t>mortadela</t>
  </si>
  <si>
    <t>KALI</t>
  </si>
  <si>
    <t>paleta</t>
  </si>
  <si>
    <t>SHNECK</t>
  </si>
  <si>
    <t>pan felipe</t>
  </si>
  <si>
    <t>PARMALAT</t>
  </si>
  <si>
    <t>pan flauta</t>
  </si>
  <si>
    <t>CONAPROLE</t>
  </si>
  <si>
    <t>pan manteca</t>
  </si>
  <si>
    <t>CAPROLET</t>
  </si>
  <si>
    <t>pan porteño</t>
  </si>
  <si>
    <t>CLALDY</t>
  </si>
  <si>
    <t>pan sandwich</t>
  </si>
  <si>
    <t>MILKY</t>
  </si>
  <si>
    <t>pan tortuga</t>
  </si>
  <si>
    <t>LACTERIA</t>
  </si>
  <si>
    <t>pan viena</t>
  </si>
  <si>
    <t>SORCHANTES</t>
  </si>
  <si>
    <t>panchos</t>
  </si>
  <si>
    <t>MALLORQUINA</t>
  </si>
  <si>
    <t>queso colonia</t>
  </si>
  <si>
    <t>FARGO</t>
  </si>
  <si>
    <t>queso dambo</t>
  </si>
  <si>
    <t>queso mozarella</t>
  </si>
  <si>
    <t>queso rallado</t>
  </si>
  <si>
    <t>queso sandwich</t>
  </si>
  <si>
    <t>queso semiduro</t>
  </si>
  <si>
    <t>salame</t>
  </si>
  <si>
    <t>yogurt</t>
  </si>
  <si>
    <t>COMERCIAL "EXCELL"</t>
  </si>
  <si>
    <t>enero</t>
  </si>
  <si>
    <t>febrero</t>
  </si>
  <si>
    <t>marzo</t>
  </si>
  <si>
    <t>I trim</t>
  </si>
  <si>
    <t>abril</t>
  </si>
  <si>
    <t>mayo</t>
  </si>
  <si>
    <t>junio</t>
  </si>
  <si>
    <t>II trim</t>
  </si>
  <si>
    <t>julio</t>
  </si>
  <si>
    <t>agosto</t>
  </si>
  <si>
    <t>septiembre</t>
  </si>
  <si>
    <t>III trim</t>
  </si>
  <si>
    <t>octubre</t>
  </si>
  <si>
    <t>noviembre</t>
  </si>
  <si>
    <t>diciembre</t>
  </si>
  <si>
    <t>IV trim</t>
  </si>
  <si>
    <t>Total</t>
  </si>
  <si>
    <t>Antonio</t>
  </si>
  <si>
    <t>Carlos</t>
  </si>
  <si>
    <t>Carmen</t>
  </si>
  <si>
    <t>Enrique</t>
  </si>
  <si>
    <t>Federico</t>
  </si>
  <si>
    <t>Fran</t>
  </si>
  <si>
    <t>Gloria</t>
  </si>
  <si>
    <t>Monica</t>
  </si>
  <si>
    <t>Pepito</t>
  </si>
  <si>
    <t>Quima</t>
  </si>
  <si>
    <t>Ramon</t>
  </si>
  <si>
    <t>Rosa</t>
  </si>
  <si>
    <t>Mes</t>
  </si>
  <si>
    <t>Antibióticos</t>
  </si>
  <si>
    <t>Vitaminas</t>
  </si>
  <si>
    <t>Antihistamínicos</t>
  </si>
  <si>
    <t>Curaciones</t>
  </si>
  <si>
    <t>Inyectables</t>
  </si>
  <si>
    <t>Rehidratantes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</si>
  <si>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</si>
  <si>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</si>
  <si>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</si>
  <si>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</si>
  <si>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</si>
  <si>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</si>
  <si>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</si>
  <si>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</si>
  <si>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</si>
  <si>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</si>
  <si>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</si>
  <si>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</si>
  <si>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</si>
  <si>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jamón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</si>
</sst>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6"/>
      <color rgb="FF7030A0"/>
      <name val="Arial Black"/>
      <family val="2"/>
    </font>
    <font>
      <sz val="16"/>
      <name val="Arial Black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4"/>
      <color theme="5"/>
      <name val="Gill Sans Ultra Bold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7" fillId="3" borderId="2" xfId="0" applyFont="1" applyFill="1" applyBorder="1"/>
    <xf numFmtId="9" fontId="7" fillId="3" borderId="2" xfId="2" applyFont="1" applyFill="1" applyBorder="1"/>
    <xf numFmtId="0" fontId="7" fillId="3" borderId="3" xfId="0" applyFont="1" applyFill="1" applyBorder="1"/>
    <xf numFmtId="0" fontId="7" fillId="0" borderId="2" xfId="0" applyFont="1" applyBorder="1"/>
    <xf numFmtId="9" fontId="7" fillId="0" borderId="2" xfId="2" applyFont="1" applyBorder="1"/>
    <xf numFmtId="0" fontId="7" fillId="0" borderId="3" xfId="0" applyFont="1" applyBorder="1"/>
    <xf numFmtId="0" fontId="7" fillId="0" borderId="5" xfId="0" applyFont="1" applyBorder="1"/>
    <xf numFmtId="9" fontId="7" fillId="0" borderId="5" xfId="2" applyFont="1" applyBorder="1"/>
    <xf numFmtId="0" fontId="7" fillId="0" borderId="6" xfId="0" applyFont="1" applyBorder="1"/>
    <xf numFmtId="0" fontId="8" fillId="0" borderId="0" xfId="3" applyFont="1"/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4" borderId="9" xfId="0" applyFont="1" applyFill="1" applyBorder="1"/>
    <xf numFmtId="43" fontId="0" fillId="4" borderId="9" xfId="1" applyFont="1" applyFill="1" applyBorder="1"/>
    <xf numFmtId="43" fontId="0" fillId="4" borderId="10" xfId="1" applyFont="1" applyFill="1" applyBorder="1"/>
    <xf numFmtId="0" fontId="0" fillId="0" borderId="7" xfId="0" applyFont="1" applyBorder="1"/>
    <xf numFmtId="43" fontId="0" fillId="0" borderId="7" xfId="1" applyFont="1" applyBorder="1"/>
    <xf numFmtId="43" fontId="0" fillId="0" borderId="8" xfId="1" applyFont="1" applyBorder="1"/>
    <xf numFmtId="0" fontId="0" fillId="4" borderId="7" xfId="0" applyFont="1" applyFill="1" applyBorder="1"/>
    <xf numFmtId="43" fontId="0" fillId="4" borderId="7" xfId="1" applyFont="1" applyFill="1" applyBorder="1"/>
    <xf numFmtId="43" fontId="0" fillId="4" borderId="8" xfId="1" applyFont="1" applyFill="1" applyBorder="1"/>
    <xf numFmtId="0" fontId="0" fillId="0" borderId="11" xfId="0" applyFont="1" applyBorder="1"/>
    <xf numFmtId="43" fontId="0" fillId="0" borderId="11" xfId="1" applyFont="1" applyBorder="1"/>
    <xf numFmtId="43" fontId="0" fillId="0" borderId="12" xfId="1" applyFont="1" applyBorder="1"/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</cellXfs>
  <cellStyles count="4">
    <cellStyle name="Millares" xfId="1" builtinId="3"/>
    <cellStyle name="Normal" xfId="0" builtinId="0"/>
    <cellStyle name="Porcentaje" xfId="2" builtinId="5"/>
    <cellStyle name="Título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57174" cy="468013"/>
    <xdr:sp macro="" textlink="">
      <xdr:nvSpPr>
        <xdr:cNvPr id="2" name="1 Rectángulo"/>
        <xdr:cNvSpPr/>
      </xdr:nvSpPr>
      <xdr:spPr>
        <a:xfrm>
          <a:off x="0" y="0"/>
          <a:ext cx="2557174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s-ES" sz="24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Reporte de Ventas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H83"/>
  <sheetViews>
    <sheetView tabSelected="1" workbookViewId="0">
      <selection activeCell="E8" sqref="E8"/>
    </sheetView>
  </sheetViews>
  <sheetFormatPr baseColWidth="10" defaultRowHeight="15" x14ac:dyDescent="0.25"/>
  <cols>
    <col min="2" max="2" width="14.28515625" bestFit="1" customWidth="1"/>
    <col min="3" max="3" width="16.28515625" bestFit="1" customWidth="1"/>
    <col min="8" max="8" width="14.28515625" bestFit="1" customWidth="1"/>
  </cols>
  <sheetData>
    <row r="1" spans="1:8" ht="24.75" x14ac:dyDescent="0.5">
      <c r="A1" s="1" t="s">
        <v>0</v>
      </c>
      <c r="B1" s="2"/>
      <c r="C1" s="2"/>
      <c r="D1" s="2"/>
    </row>
    <row r="3" spans="1:8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 t="s">
        <v>9</v>
      </c>
    </row>
    <row r="4" spans="1:8" x14ac:dyDescent="0.25">
      <c r="A4" s="31" t="s">
        <v>10</v>
      </c>
      <c r="B4" s="32" t="s">
        <v>11</v>
      </c>
      <c r="C4" s="32" t="s">
        <v>105</v>
      </c>
      <c r="D4" s="6">
        <v>4</v>
      </c>
      <c r="E4" s="6">
        <v>7472</v>
      </c>
      <c r="F4" s="6">
        <v>2012</v>
      </c>
      <c r="G4" s="7">
        <v>0.05</v>
      </c>
      <c r="H4" s="8">
        <v>373.6</v>
      </c>
    </row>
    <row r="5" spans="1:8" x14ac:dyDescent="0.25">
      <c r="A5" s="33" t="s">
        <v>12</v>
      </c>
      <c r="B5" s="34" t="s">
        <v>13</v>
      </c>
      <c r="C5" s="34" t="s">
        <v>14</v>
      </c>
      <c r="D5" s="9">
        <v>8</v>
      </c>
      <c r="E5" s="9">
        <v>8682</v>
      </c>
      <c r="F5" s="9">
        <v>2013</v>
      </c>
      <c r="G5" s="10">
        <v>0.02</v>
      </c>
      <c r="H5" s="11">
        <v>173.64</v>
      </c>
    </row>
    <row r="6" spans="1:8" x14ac:dyDescent="0.25">
      <c r="A6" s="31" t="s">
        <v>15</v>
      </c>
      <c r="B6" s="32" t="s">
        <v>16</v>
      </c>
      <c r="C6" s="32" t="s">
        <v>17</v>
      </c>
      <c r="D6" s="6">
        <v>11</v>
      </c>
      <c r="E6" s="6">
        <v>5342</v>
      </c>
      <c r="F6" s="6">
        <v>2011</v>
      </c>
      <c r="G6" s="7">
        <v>0.02</v>
      </c>
      <c r="H6" s="8">
        <v>106.84</v>
      </c>
    </row>
    <row r="7" spans="1:8" x14ac:dyDescent="0.25">
      <c r="A7" s="33" t="s">
        <v>18</v>
      </c>
      <c r="B7" s="34" t="s">
        <v>19</v>
      </c>
      <c r="C7" s="34" t="s">
        <v>20</v>
      </c>
      <c r="D7" s="9">
        <v>23</v>
      </c>
      <c r="E7" s="9">
        <v>21496</v>
      </c>
      <c r="F7" s="9">
        <v>2010</v>
      </c>
      <c r="G7" s="10">
        <v>0.09</v>
      </c>
      <c r="H7" s="11">
        <v>1934.64</v>
      </c>
    </row>
    <row r="8" spans="1:8" x14ac:dyDescent="0.25">
      <c r="A8" s="31" t="s">
        <v>21</v>
      </c>
      <c r="B8" s="32" t="s">
        <v>22</v>
      </c>
      <c r="C8" s="32" t="s">
        <v>23</v>
      </c>
      <c r="D8" s="6">
        <v>5</v>
      </c>
      <c r="E8" s="6">
        <v>8451</v>
      </c>
      <c r="F8" s="6">
        <v>2013</v>
      </c>
      <c r="G8" s="7">
        <v>0.09</v>
      </c>
      <c r="H8" s="8">
        <v>760.59</v>
      </c>
    </row>
    <row r="9" spans="1:8" x14ac:dyDescent="0.25">
      <c r="A9" s="33" t="s">
        <v>24</v>
      </c>
      <c r="B9" s="34" t="s">
        <v>25</v>
      </c>
      <c r="C9" s="34" t="s">
        <v>26</v>
      </c>
      <c r="D9" s="9">
        <v>4</v>
      </c>
      <c r="E9" s="9">
        <v>3783</v>
      </c>
      <c r="F9" s="9">
        <v>2011</v>
      </c>
      <c r="G9" s="10">
        <v>0.04</v>
      </c>
      <c r="H9" s="11">
        <v>151.32</v>
      </c>
    </row>
    <row r="10" spans="1:8" x14ac:dyDescent="0.25">
      <c r="A10" s="31" t="s">
        <v>1</v>
      </c>
      <c r="B10" s="32" t="s">
        <v>27</v>
      </c>
      <c r="C10" s="32" t="s">
        <v>28</v>
      </c>
      <c r="D10" s="6">
        <v>13</v>
      </c>
      <c r="E10" s="6">
        <v>1681</v>
      </c>
      <c r="F10" s="6">
        <v>2012</v>
      </c>
      <c r="G10" s="7">
        <v>0.01</v>
      </c>
      <c r="H10" s="8">
        <v>16.809999999999999</v>
      </c>
    </row>
    <row r="11" spans="1:8" x14ac:dyDescent="0.25">
      <c r="A11" s="33" t="s">
        <v>10</v>
      </c>
      <c r="B11" s="34" t="s">
        <v>29</v>
      </c>
      <c r="C11" s="34" t="s">
        <v>30</v>
      </c>
      <c r="D11" s="9">
        <v>22</v>
      </c>
      <c r="E11" s="9">
        <v>13915</v>
      </c>
      <c r="F11" s="9">
        <v>2012</v>
      </c>
      <c r="G11" s="10">
        <v>0.14000000000000001</v>
      </c>
      <c r="H11" s="11">
        <v>1948.1</v>
      </c>
    </row>
    <row r="12" spans="1:8" x14ac:dyDescent="0.25">
      <c r="A12" s="31" t="s">
        <v>12</v>
      </c>
      <c r="B12" s="32" t="s">
        <v>31</v>
      </c>
      <c r="C12" s="32" t="s">
        <v>32</v>
      </c>
      <c r="D12" s="6">
        <v>17</v>
      </c>
      <c r="E12" s="6">
        <v>3643</v>
      </c>
      <c r="F12" s="6">
        <v>2012</v>
      </c>
      <c r="G12" s="7">
        <v>0.03</v>
      </c>
      <c r="H12" s="8">
        <v>109.29</v>
      </c>
    </row>
    <row r="13" spans="1:8" x14ac:dyDescent="0.25">
      <c r="A13" s="33" t="s">
        <v>15</v>
      </c>
      <c r="B13" s="34" t="s">
        <v>33</v>
      </c>
      <c r="C13" s="34" t="s">
        <v>34</v>
      </c>
      <c r="D13" s="9">
        <v>11</v>
      </c>
      <c r="E13" s="9">
        <v>388</v>
      </c>
      <c r="F13" s="9">
        <v>2013</v>
      </c>
      <c r="G13" s="10">
        <v>0.05</v>
      </c>
      <c r="H13" s="11">
        <v>19.399999999999999</v>
      </c>
    </row>
    <row r="14" spans="1:8" x14ac:dyDescent="0.25">
      <c r="A14" s="31" t="s">
        <v>18</v>
      </c>
      <c r="B14" s="32" t="s">
        <v>35</v>
      </c>
      <c r="C14" s="32" t="s">
        <v>36</v>
      </c>
      <c r="D14" s="6">
        <v>8</v>
      </c>
      <c r="E14" s="6">
        <v>5935</v>
      </c>
      <c r="F14" s="6">
        <v>2011</v>
      </c>
      <c r="G14" s="7">
        <v>0.09</v>
      </c>
      <c r="H14" s="8">
        <v>534.15</v>
      </c>
    </row>
    <row r="15" spans="1:8" x14ac:dyDescent="0.25">
      <c r="A15" s="33" t="s">
        <v>21</v>
      </c>
      <c r="B15" s="34" t="s">
        <v>37</v>
      </c>
      <c r="C15" s="34" t="s">
        <v>38</v>
      </c>
      <c r="D15" s="9">
        <v>12</v>
      </c>
      <c r="E15" s="9">
        <v>9966</v>
      </c>
      <c r="F15" s="9">
        <v>2011</v>
      </c>
      <c r="G15" s="10">
        <v>0.17</v>
      </c>
      <c r="H15" s="11">
        <v>1694.22</v>
      </c>
    </row>
    <row r="16" spans="1:8" x14ac:dyDescent="0.25">
      <c r="A16" s="31" t="s">
        <v>24</v>
      </c>
      <c r="B16" s="32" t="s">
        <v>39</v>
      </c>
      <c r="C16" s="32" t="s">
        <v>40</v>
      </c>
      <c r="D16" s="6">
        <v>13</v>
      </c>
      <c r="E16" s="6">
        <v>2186</v>
      </c>
      <c r="F16" s="6">
        <v>2011</v>
      </c>
      <c r="G16" s="7">
        <v>0.1</v>
      </c>
      <c r="H16" s="8">
        <v>218.6</v>
      </c>
    </row>
    <row r="17" spans="1:8" x14ac:dyDescent="0.25">
      <c r="A17" s="33" t="s">
        <v>1</v>
      </c>
      <c r="B17" s="34" t="s">
        <v>41</v>
      </c>
      <c r="C17" s="34" t="s">
        <v>42</v>
      </c>
      <c r="D17" s="9">
        <v>3</v>
      </c>
      <c r="E17" s="9">
        <v>5664</v>
      </c>
      <c r="F17" s="9">
        <v>2012</v>
      </c>
      <c r="G17" s="10">
        <v>0.03</v>
      </c>
      <c r="H17" s="11">
        <v>169.92</v>
      </c>
    </row>
    <row r="18" spans="1:8" x14ac:dyDescent="0.25">
      <c r="A18" s="31" t="s">
        <v>10</v>
      </c>
      <c r="B18" s="32" t="s">
        <v>43</v>
      </c>
      <c r="C18" s="32" t="s">
        <v>44</v>
      </c>
      <c r="D18" s="6">
        <v>5</v>
      </c>
      <c r="E18" s="6">
        <v>6898</v>
      </c>
      <c r="F18" s="6">
        <v>2013</v>
      </c>
      <c r="G18" s="7">
        <v>0.05</v>
      </c>
      <c r="H18" s="8">
        <v>344.9</v>
      </c>
    </row>
    <row r="19" spans="1:8" x14ac:dyDescent="0.25">
      <c r="A19" s="33" t="s">
        <v>12</v>
      </c>
      <c r="B19" s="34" t="s">
        <v>45</v>
      </c>
      <c r="C19" s="34" t="s">
        <v>46</v>
      </c>
      <c r="D19" s="9">
        <v>19</v>
      </c>
      <c r="E19" s="9">
        <v>14748</v>
      </c>
      <c r="F19" s="9">
        <v>2011</v>
      </c>
      <c r="G19" s="10">
        <v>0.18</v>
      </c>
      <c r="H19" s="11">
        <v>2654.64</v>
      </c>
    </row>
    <row r="20" spans="1:8" x14ac:dyDescent="0.25">
      <c r="A20" s="31" t="s">
        <v>15</v>
      </c>
      <c r="B20" s="32" t="s">
        <v>47</v>
      </c>
      <c r="C20" s="32" t="s">
        <v>48</v>
      </c>
      <c r="D20" s="6">
        <v>16</v>
      </c>
      <c r="E20" s="6">
        <v>4862</v>
      </c>
      <c r="F20" s="6">
        <v>2013</v>
      </c>
      <c r="G20" s="7">
        <v>0.02</v>
      </c>
      <c r="H20" s="8">
        <v>97.24</v>
      </c>
    </row>
    <row r="21" spans="1:8" x14ac:dyDescent="0.25">
      <c r="A21" s="33" t="s">
        <v>18</v>
      </c>
      <c r="B21" s="34" t="s">
        <v>11</v>
      </c>
      <c r="C21" s="34" t="s">
        <v>49</v>
      </c>
      <c r="D21" s="9">
        <v>14</v>
      </c>
      <c r="E21" s="9">
        <v>3674</v>
      </c>
      <c r="F21" s="9">
        <v>2010</v>
      </c>
      <c r="G21" s="10">
        <v>0.09</v>
      </c>
      <c r="H21" s="11">
        <v>330.66</v>
      </c>
    </row>
    <row r="22" spans="1:8" x14ac:dyDescent="0.25">
      <c r="A22" s="31" t="s">
        <v>21</v>
      </c>
      <c r="B22" s="32" t="s">
        <v>13</v>
      </c>
      <c r="C22" s="32" t="s">
        <v>50</v>
      </c>
      <c r="D22" s="6">
        <v>6</v>
      </c>
      <c r="E22" s="6">
        <v>7452</v>
      </c>
      <c r="F22" s="6">
        <v>2011</v>
      </c>
      <c r="G22" s="7">
        <v>0.01</v>
      </c>
      <c r="H22" s="8">
        <v>74.52</v>
      </c>
    </row>
    <row r="23" spans="1:8" x14ac:dyDescent="0.25">
      <c r="A23" s="33" t="s">
        <v>24</v>
      </c>
      <c r="B23" s="34" t="s">
        <v>16</v>
      </c>
      <c r="C23" s="34" t="s">
        <v>51</v>
      </c>
      <c r="D23" s="9">
        <v>4</v>
      </c>
      <c r="E23" s="9">
        <v>15988</v>
      </c>
      <c r="F23" s="9">
        <v>2010</v>
      </c>
      <c r="G23" s="10">
        <v>0.12</v>
      </c>
      <c r="H23" s="11">
        <v>1918.56</v>
      </c>
    </row>
    <row r="24" spans="1:8" x14ac:dyDescent="0.25">
      <c r="A24" s="31" t="s">
        <v>1</v>
      </c>
      <c r="B24" s="32" t="s">
        <v>19</v>
      </c>
      <c r="C24" s="32" t="s">
        <v>52</v>
      </c>
      <c r="D24" s="6">
        <v>18</v>
      </c>
      <c r="E24" s="6">
        <v>7472</v>
      </c>
      <c r="F24" s="6">
        <v>2012</v>
      </c>
      <c r="G24" s="7">
        <v>0.05</v>
      </c>
      <c r="H24" s="8">
        <v>373.6</v>
      </c>
    </row>
    <row r="25" spans="1:8" x14ac:dyDescent="0.25">
      <c r="A25" s="33" t="s">
        <v>10</v>
      </c>
      <c r="B25" s="34" t="s">
        <v>22</v>
      </c>
      <c r="C25" s="34" t="s">
        <v>53</v>
      </c>
      <c r="D25" s="9">
        <v>1</v>
      </c>
      <c r="E25" s="9">
        <v>8682</v>
      </c>
      <c r="F25" s="9">
        <v>2013</v>
      </c>
      <c r="G25" s="10">
        <v>0.02</v>
      </c>
      <c r="H25" s="11">
        <v>173.64</v>
      </c>
    </row>
    <row r="26" spans="1:8" x14ac:dyDescent="0.25">
      <c r="A26" s="31" t="s">
        <v>12</v>
      </c>
      <c r="B26" s="32" t="s">
        <v>25</v>
      </c>
      <c r="C26" s="32" t="s">
        <v>54</v>
      </c>
      <c r="D26" s="6">
        <v>3</v>
      </c>
      <c r="E26" s="6">
        <v>5342</v>
      </c>
      <c r="F26" s="6">
        <v>2011</v>
      </c>
      <c r="G26" s="7">
        <v>0.02</v>
      </c>
      <c r="H26" s="8">
        <v>106.84</v>
      </c>
    </row>
    <row r="27" spans="1:8" x14ac:dyDescent="0.25">
      <c r="A27" s="33" t="s">
        <v>15</v>
      </c>
      <c r="B27" s="34" t="s">
        <v>27</v>
      </c>
      <c r="C27" s="34" t="s">
        <v>105</v>
      </c>
      <c r="D27" s="9">
        <v>9</v>
      </c>
      <c r="E27" s="9">
        <v>21496</v>
      </c>
      <c r="F27" s="9">
        <v>2010</v>
      </c>
      <c r="G27" s="10">
        <v>0.09</v>
      </c>
      <c r="H27" s="11">
        <v>1934.64</v>
      </c>
    </row>
    <row r="28" spans="1:8" x14ac:dyDescent="0.25">
      <c r="A28" s="31" t="s">
        <v>18</v>
      </c>
      <c r="B28" s="32" t="s">
        <v>29</v>
      </c>
      <c r="C28" s="32" t="s">
        <v>14</v>
      </c>
      <c r="D28" s="6">
        <v>10</v>
      </c>
      <c r="E28" s="6">
        <v>8451</v>
      </c>
      <c r="F28" s="6">
        <v>2013</v>
      </c>
      <c r="G28" s="7">
        <v>0.09</v>
      </c>
      <c r="H28" s="8">
        <v>760.59</v>
      </c>
    </row>
    <row r="29" spans="1:8" x14ac:dyDescent="0.25">
      <c r="A29" s="33" t="s">
        <v>21</v>
      </c>
      <c r="B29" s="34" t="s">
        <v>31</v>
      </c>
      <c r="C29" s="34" t="s">
        <v>17</v>
      </c>
      <c r="D29" s="9">
        <v>12</v>
      </c>
      <c r="E29" s="9">
        <v>3783</v>
      </c>
      <c r="F29" s="9">
        <v>2011</v>
      </c>
      <c r="G29" s="10">
        <v>0.04</v>
      </c>
      <c r="H29" s="11">
        <v>151.32</v>
      </c>
    </row>
    <row r="30" spans="1:8" x14ac:dyDescent="0.25">
      <c r="A30" s="31" t="s">
        <v>24</v>
      </c>
      <c r="B30" s="32" t="s">
        <v>33</v>
      </c>
      <c r="C30" s="32" t="s">
        <v>20</v>
      </c>
      <c r="D30" s="6">
        <v>7</v>
      </c>
      <c r="E30" s="6">
        <v>1681</v>
      </c>
      <c r="F30" s="6">
        <v>2012</v>
      </c>
      <c r="G30" s="7">
        <v>0.01</v>
      </c>
      <c r="H30" s="8">
        <v>16.809999999999999</v>
      </c>
    </row>
    <row r="31" spans="1:8" x14ac:dyDescent="0.25">
      <c r="A31" s="33" t="s">
        <v>1</v>
      </c>
      <c r="B31" s="34" t="s">
        <v>35</v>
      </c>
      <c r="C31" s="34" t="s">
        <v>23</v>
      </c>
      <c r="D31" s="9">
        <v>15</v>
      </c>
      <c r="E31" s="9">
        <v>13915</v>
      </c>
      <c r="F31" s="9">
        <v>2012</v>
      </c>
      <c r="G31" s="10">
        <v>0.14000000000000001</v>
      </c>
      <c r="H31" s="11">
        <v>1948.1</v>
      </c>
    </row>
    <row r="32" spans="1:8" x14ac:dyDescent="0.25">
      <c r="A32" s="31" t="s">
        <v>10</v>
      </c>
      <c r="B32" s="32" t="s">
        <v>37</v>
      </c>
      <c r="C32" s="32" t="s">
        <v>26</v>
      </c>
      <c r="D32" s="6">
        <v>16</v>
      </c>
      <c r="E32" s="6">
        <v>3643</v>
      </c>
      <c r="F32" s="6">
        <v>2012</v>
      </c>
      <c r="G32" s="7">
        <v>0.03</v>
      </c>
      <c r="H32" s="8">
        <v>109.29</v>
      </c>
    </row>
    <row r="33" spans="1:8" x14ac:dyDescent="0.25">
      <c r="A33" s="33" t="s">
        <v>12</v>
      </c>
      <c r="B33" s="34" t="s">
        <v>39</v>
      </c>
      <c r="C33" s="34" t="s">
        <v>28</v>
      </c>
      <c r="D33" s="9">
        <v>12</v>
      </c>
      <c r="E33" s="9">
        <v>388</v>
      </c>
      <c r="F33" s="9">
        <v>2013</v>
      </c>
      <c r="G33" s="10">
        <v>0.05</v>
      </c>
      <c r="H33" s="11">
        <v>19.399999999999999</v>
      </c>
    </row>
    <row r="34" spans="1:8" x14ac:dyDescent="0.25">
      <c r="A34" s="31" t="s">
        <v>15</v>
      </c>
      <c r="B34" s="32" t="s">
        <v>41</v>
      </c>
      <c r="C34" s="32" t="s">
        <v>30</v>
      </c>
      <c r="D34" s="6">
        <v>3</v>
      </c>
      <c r="E34" s="6">
        <v>5935</v>
      </c>
      <c r="F34" s="6">
        <v>2011</v>
      </c>
      <c r="G34" s="7">
        <v>0.09</v>
      </c>
      <c r="H34" s="8">
        <v>534.15</v>
      </c>
    </row>
    <row r="35" spans="1:8" x14ac:dyDescent="0.25">
      <c r="A35" s="33" t="s">
        <v>18</v>
      </c>
      <c r="B35" s="34" t="s">
        <v>43</v>
      </c>
      <c r="C35" s="34" t="s">
        <v>32</v>
      </c>
      <c r="D35" s="9">
        <v>5</v>
      </c>
      <c r="E35" s="9">
        <v>9966</v>
      </c>
      <c r="F35" s="9">
        <v>2011</v>
      </c>
      <c r="G35" s="10">
        <v>0.17</v>
      </c>
      <c r="H35" s="11">
        <v>1694.22</v>
      </c>
    </row>
    <row r="36" spans="1:8" x14ac:dyDescent="0.25">
      <c r="A36" s="31" t="s">
        <v>21</v>
      </c>
      <c r="B36" s="32" t="s">
        <v>45</v>
      </c>
      <c r="C36" s="32" t="s">
        <v>34</v>
      </c>
      <c r="D36" s="6">
        <v>8</v>
      </c>
      <c r="E36" s="6">
        <v>2186</v>
      </c>
      <c r="F36" s="6">
        <v>2011</v>
      </c>
      <c r="G36" s="7">
        <v>0.1</v>
      </c>
      <c r="H36" s="8">
        <v>218.6</v>
      </c>
    </row>
    <row r="37" spans="1:8" x14ac:dyDescent="0.25">
      <c r="A37" s="33" t="s">
        <v>24</v>
      </c>
      <c r="B37" s="34" t="s">
        <v>47</v>
      </c>
      <c r="C37" s="34" t="s">
        <v>36</v>
      </c>
      <c r="D37" s="9">
        <v>17</v>
      </c>
      <c r="E37" s="9">
        <v>5664</v>
      </c>
      <c r="F37" s="9">
        <v>2012</v>
      </c>
      <c r="G37" s="10">
        <v>0.03</v>
      </c>
      <c r="H37" s="11">
        <v>169.92</v>
      </c>
    </row>
    <row r="38" spans="1:8" x14ac:dyDescent="0.25">
      <c r="A38" s="31" t="s">
        <v>1</v>
      </c>
      <c r="B38" s="32" t="s">
        <v>11</v>
      </c>
      <c r="C38" s="32" t="s">
        <v>38</v>
      </c>
      <c r="D38" s="6">
        <v>21</v>
      </c>
      <c r="E38" s="6">
        <v>6898</v>
      </c>
      <c r="F38" s="6">
        <v>2013</v>
      </c>
      <c r="G38" s="7">
        <v>0.05</v>
      </c>
      <c r="H38" s="8">
        <v>344.9</v>
      </c>
    </row>
    <row r="39" spans="1:8" x14ac:dyDescent="0.25">
      <c r="A39" s="33" t="s">
        <v>10</v>
      </c>
      <c r="B39" s="34" t="s">
        <v>13</v>
      </c>
      <c r="C39" s="34" t="s">
        <v>40</v>
      </c>
      <c r="D39" s="9">
        <v>22</v>
      </c>
      <c r="E39" s="9">
        <v>14748</v>
      </c>
      <c r="F39" s="9">
        <v>2011</v>
      </c>
      <c r="G39" s="10">
        <v>0.18</v>
      </c>
      <c r="H39" s="11">
        <v>2654.64</v>
      </c>
    </row>
    <row r="40" spans="1:8" x14ac:dyDescent="0.25">
      <c r="A40" s="31" t="s">
        <v>12</v>
      </c>
      <c r="B40" s="32" t="s">
        <v>16</v>
      </c>
      <c r="C40" s="32" t="s">
        <v>42</v>
      </c>
      <c r="D40" s="6">
        <v>20</v>
      </c>
      <c r="E40" s="6">
        <v>4862</v>
      </c>
      <c r="F40" s="6">
        <v>2013</v>
      </c>
      <c r="G40" s="7">
        <v>0.02</v>
      </c>
      <c r="H40" s="8">
        <v>97.24</v>
      </c>
    </row>
    <row r="41" spans="1:8" x14ac:dyDescent="0.25">
      <c r="A41" s="33" t="s">
        <v>15</v>
      </c>
      <c r="B41" s="34" t="s">
        <v>19</v>
      </c>
      <c r="C41" s="34" t="s">
        <v>44</v>
      </c>
      <c r="D41" s="9">
        <v>11</v>
      </c>
      <c r="E41" s="9">
        <v>3674</v>
      </c>
      <c r="F41" s="9">
        <v>2010</v>
      </c>
      <c r="G41" s="10">
        <v>0.09</v>
      </c>
      <c r="H41" s="11">
        <v>330.66</v>
      </c>
    </row>
    <row r="42" spans="1:8" x14ac:dyDescent="0.25">
      <c r="A42" s="31" t="s">
        <v>18</v>
      </c>
      <c r="B42" s="32" t="s">
        <v>22</v>
      </c>
      <c r="C42" s="32" t="s">
        <v>46</v>
      </c>
      <c r="D42" s="6">
        <v>6</v>
      </c>
      <c r="E42" s="6">
        <v>7452</v>
      </c>
      <c r="F42" s="6">
        <v>2011</v>
      </c>
      <c r="G42" s="7">
        <v>0.01</v>
      </c>
      <c r="H42" s="8">
        <v>74.52</v>
      </c>
    </row>
    <row r="43" spans="1:8" x14ac:dyDescent="0.25">
      <c r="A43" s="33" t="s">
        <v>21</v>
      </c>
      <c r="B43" s="34" t="s">
        <v>25</v>
      </c>
      <c r="C43" s="34" t="s">
        <v>48</v>
      </c>
      <c r="D43" s="9">
        <v>4</v>
      </c>
      <c r="E43" s="9">
        <v>15988</v>
      </c>
      <c r="F43" s="9">
        <v>2010</v>
      </c>
      <c r="G43" s="10">
        <v>0.12</v>
      </c>
      <c r="H43" s="11">
        <v>1918.56</v>
      </c>
    </row>
    <row r="44" spans="1:8" x14ac:dyDescent="0.25">
      <c r="A44" s="31" t="s">
        <v>24</v>
      </c>
      <c r="B44" s="32" t="s">
        <v>27</v>
      </c>
      <c r="C44" s="32" t="s">
        <v>49</v>
      </c>
      <c r="D44" s="6">
        <v>10</v>
      </c>
      <c r="E44" s="6">
        <v>7472</v>
      </c>
      <c r="F44" s="6">
        <v>2012</v>
      </c>
      <c r="G44" s="7">
        <v>0.05</v>
      </c>
      <c r="H44" s="8">
        <v>373.6</v>
      </c>
    </row>
    <row r="45" spans="1:8" x14ac:dyDescent="0.25">
      <c r="A45" s="33" t="s">
        <v>1</v>
      </c>
      <c r="B45" s="34" t="s">
        <v>29</v>
      </c>
      <c r="C45" s="34" t="s">
        <v>50</v>
      </c>
      <c r="D45" s="9">
        <v>12</v>
      </c>
      <c r="E45" s="9">
        <v>8682</v>
      </c>
      <c r="F45" s="9">
        <v>2013</v>
      </c>
      <c r="G45" s="10">
        <v>0.02</v>
      </c>
      <c r="H45" s="11">
        <v>173.64</v>
      </c>
    </row>
    <row r="46" spans="1:8" x14ac:dyDescent="0.25">
      <c r="A46" s="31" t="s">
        <v>10</v>
      </c>
      <c r="B46" s="32" t="s">
        <v>31</v>
      </c>
      <c r="C46" s="32" t="s">
        <v>51</v>
      </c>
      <c r="D46" s="6">
        <v>22</v>
      </c>
      <c r="E46" s="6">
        <v>5342</v>
      </c>
      <c r="F46" s="6">
        <v>2011</v>
      </c>
      <c r="G46" s="7">
        <v>0.02</v>
      </c>
      <c r="H46" s="8">
        <v>106.84</v>
      </c>
    </row>
    <row r="47" spans="1:8" x14ac:dyDescent="0.25">
      <c r="A47" s="33" t="s">
        <v>12</v>
      </c>
      <c r="B47" s="34" t="s">
        <v>33</v>
      </c>
      <c r="C47" s="34" t="s">
        <v>52</v>
      </c>
      <c r="D47" s="9">
        <v>2</v>
      </c>
      <c r="E47" s="9">
        <v>21496</v>
      </c>
      <c r="F47" s="9">
        <v>2010</v>
      </c>
      <c r="G47" s="10">
        <v>0.09</v>
      </c>
      <c r="H47" s="11">
        <v>1934.64</v>
      </c>
    </row>
    <row r="48" spans="1:8" x14ac:dyDescent="0.25">
      <c r="A48" s="31" t="s">
        <v>15</v>
      </c>
      <c r="B48" s="32" t="s">
        <v>35</v>
      </c>
      <c r="C48" s="32" t="s">
        <v>53</v>
      </c>
      <c r="D48" s="6">
        <v>8</v>
      </c>
      <c r="E48" s="6">
        <v>8451</v>
      </c>
      <c r="F48" s="6">
        <v>2013</v>
      </c>
      <c r="G48" s="7">
        <v>0.09</v>
      </c>
      <c r="H48" s="8">
        <v>760.59</v>
      </c>
    </row>
    <row r="49" spans="1:8" x14ac:dyDescent="0.25">
      <c r="A49" s="33" t="s">
        <v>18</v>
      </c>
      <c r="B49" s="34" t="s">
        <v>37</v>
      </c>
      <c r="C49" s="34" t="s">
        <v>54</v>
      </c>
      <c r="D49" s="9">
        <v>13</v>
      </c>
      <c r="E49" s="9">
        <v>3783</v>
      </c>
      <c r="F49" s="9">
        <v>2011</v>
      </c>
      <c r="G49" s="10">
        <v>0.04</v>
      </c>
      <c r="H49" s="11">
        <v>151.32</v>
      </c>
    </row>
    <row r="50" spans="1:8" x14ac:dyDescent="0.25">
      <c r="A50" s="31" t="s">
        <v>21</v>
      </c>
      <c r="B50" s="32" t="s">
        <v>39</v>
      </c>
      <c r="C50" s="32" t="s">
        <v>105</v>
      </c>
      <c r="D50" s="6">
        <v>4</v>
      </c>
      <c r="E50" s="6">
        <v>1681</v>
      </c>
      <c r="F50" s="6">
        <v>2012</v>
      </c>
      <c r="G50" s="7">
        <v>0.01</v>
      </c>
      <c r="H50" s="8">
        <v>16.809999999999999</v>
      </c>
    </row>
    <row r="51" spans="1:8" x14ac:dyDescent="0.25">
      <c r="A51" s="33" t="s">
        <v>24</v>
      </c>
      <c r="B51" s="34" t="s">
        <v>41</v>
      </c>
      <c r="C51" s="34" t="s">
        <v>14</v>
      </c>
      <c r="D51" s="9">
        <v>8</v>
      </c>
      <c r="E51" s="9">
        <v>13915</v>
      </c>
      <c r="F51" s="9">
        <v>2012</v>
      </c>
      <c r="G51" s="10">
        <v>0.14000000000000001</v>
      </c>
      <c r="H51" s="11">
        <v>1948.1</v>
      </c>
    </row>
    <row r="52" spans="1:8" x14ac:dyDescent="0.25">
      <c r="A52" s="31" t="s">
        <v>1</v>
      </c>
      <c r="B52" s="32" t="s">
        <v>43</v>
      </c>
      <c r="C52" s="32" t="s">
        <v>17</v>
      </c>
      <c r="D52" s="6">
        <v>11</v>
      </c>
      <c r="E52" s="6">
        <v>3643</v>
      </c>
      <c r="F52" s="6">
        <v>2012</v>
      </c>
      <c r="G52" s="7">
        <v>0.03</v>
      </c>
      <c r="H52" s="8">
        <v>109.29</v>
      </c>
    </row>
    <row r="53" spans="1:8" x14ac:dyDescent="0.25">
      <c r="A53" s="33" t="s">
        <v>10</v>
      </c>
      <c r="B53" s="34" t="s">
        <v>45</v>
      </c>
      <c r="C53" s="34" t="s">
        <v>20</v>
      </c>
      <c r="D53" s="9">
        <v>23</v>
      </c>
      <c r="E53" s="9">
        <v>388</v>
      </c>
      <c r="F53" s="9">
        <v>2013</v>
      </c>
      <c r="G53" s="10">
        <v>0.05</v>
      </c>
      <c r="H53" s="11">
        <v>19.399999999999999</v>
      </c>
    </row>
    <row r="54" spans="1:8" x14ac:dyDescent="0.25">
      <c r="A54" s="31" t="s">
        <v>12</v>
      </c>
      <c r="B54" s="32" t="s">
        <v>47</v>
      </c>
      <c r="C54" s="32" t="s">
        <v>23</v>
      </c>
      <c r="D54" s="6">
        <v>5</v>
      </c>
      <c r="E54" s="6">
        <v>5935</v>
      </c>
      <c r="F54" s="6">
        <v>2011</v>
      </c>
      <c r="G54" s="7">
        <v>0.09</v>
      </c>
      <c r="H54" s="8">
        <v>534.15</v>
      </c>
    </row>
    <row r="55" spans="1:8" x14ac:dyDescent="0.25">
      <c r="A55" s="33" t="s">
        <v>15</v>
      </c>
      <c r="B55" s="34" t="s">
        <v>11</v>
      </c>
      <c r="C55" s="34" t="s">
        <v>26</v>
      </c>
      <c r="D55" s="9">
        <v>4</v>
      </c>
      <c r="E55" s="9">
        <v>9966</v>
      </c>
      <c r="F55" s="9">
        <v>2011</v>
      </c>
      <c r="G55" s="10">
        <v>0.17</v>
      </c>
      <c r="H55" s="11">
        <v>1694.22</v>
      </c>
    </row>
    <row r="56" spans="1:8" x14ac:dyDescent="0.25">
      <c r="A56" s="31" t="s">
        <v>18</v>
      </c>
      <c r="B56" s="32" t="s">
        <v>13</v>
      </c>
      <c r="C56" s="32" t="s">
        <v>28</v>
      </c>
      <c r="D56" s="6">
        <v>13</v>
      </c>
      <c r="E56" s="6">
        <v>2186</v>
      </c>
      <c r="F56" s="6">
        <v>2011</v>
      </c>
      <c r="G56" s="7">
        <v>0.1</v>
      </c>
      <c r="H56" s="8">
        <v>218.6</v>
      </c>
    </row>
    <row r="57" spans="1:8" x14ac:dyDescent="0.25">
      <c r="A57" s="33" t="s">
        <v>21</v>
      </c>
      <c r="B57" s="34" t="s">
        <v>16</v>
      </c>
      <c r="C57" s="34" t="s">
        <v>30</v>
      </c>
      <c r="D57" s="9">
        <v>22</v>
      </c>
      <c r="E57" s="9">
        <v>5664</v>
      </c>
      <c r="F57" s="9">
        <v>2012</v>
      </c>
      <c r="G57" s="10">
        <v>0.03</v>
      </c>
      <c r="H57" s="11">
        <v>169.92</v>
      </c>
    </row>
    <row r="58" spans="1:8" x14ac:dyDescent="0.25">
      <c r="A58" s="31" t="s">
        <v>24</v>
      </c>
      <c r="B58" s="32" t="s">
        <v>19</v>
      </c>
      <c r="C58" s="32" t="s">
        <v>32</v>
      </c>
      <c r="D58" s="6">
        <v>17</v>
      </c>
      <c r="E58" s="6">
        <v>6898</v>
      </c>
      <c r="F58" s="6">
        <v>2013</v>
      </c>
      <c r="G58" s="7">
        <v>0.05</v>
      </c>
      <c r="H58" s="8">
        <v>344.9</v>
      </c>
    </row>
    <row r="59" spans="1:8" x14ac:dyDescent="0.25">
      <c r="A59" s="33" t="s">
        <v>1</v>
      </c>
      <c r="B59" s="34" t="s">
        <v>22</v>
      </c>
      <c r="C59" s="34" t="s">
        <v>34</v>
      </c>
      <c r="D59" s="9">
        <v>11</v>
      </c>
      <c r="E59" s="9">
        <v>14748</v>
      </c>
      <c r="F59" s="9">
        <v>2011</v>
      </c>
      <c r="G59" s="10">
        <v>0.18</v>
      </c>
      <c r="H59" s="11">
        <v>2654.64</v>
      </c>
    </row>
    <row r="60" spans="1:8" x14ac:dyDescent="0.25">
      <c r="A60" s="31" t="s">
        <v>10</v>
      </c>
      <c r="B60" s="32" t="s">
        <v>25</v>
      </c>
      <c r="C60" s="32" t="s">
        <v>36</v>
      </c>
      <c r="D60" s="6">
        <v>8</v>
      </c>
      <c r="E60" s="6">
        <v>4862</v>
      </c>
      <c r="F60" s="6">
        <v>2013</v>
      </c>
      <c r="G60" s="7">
        <v>0.02</v>
      </c>
      <c r="H60" s="8">
        <v>97.24</v>
      </c>
    </row>
    <row r="61" spans="1:8" x14ac:dyDescent="0.25">
      <c r="A61" s="33" t="s">
        <v>12</v>
      </c>
      <c r="B61" s="34" t="s">
        <v>27</v>
      </c>
      <c r="C61" s="34" t="s">
        <v>38</v>
      </c>
      <c r="D61" s="9">
        <v>12</v>
      </c>
      <c r="E61" s="9">
        <v>3674</v>
      </c>
      <c r="F61" s="9">
        <v>2010</v>
      </c>
      <c r="G61" s="10">
        <v>0.09</v>
      </c>
      <c r="H61" s="11">
        <v>330.66</v>
      </c>
    </row>
    <row r="62" spans="1:8" x14ac:dyDescent="0.25">
      <c r="A62" s="31" t="s">
        <v>15</v>
      </c>
      <c r="B62" s="32" t="s">
        <v>29</v>
      </c>
      <c r="C62" s="32" t="s">
        <v>40</v>
      </c>
      <c r="D62" s="6">
        <v>13</v>
      </c>
      <c r="E62" s="6">
        <v>7452</v>
      </c>
      <c r="F62" s="6">
        <v>2011</v>
      </c>
      <c r="G62" s="7">
        <v>0.01</v>
      </c>
      <c r="H62" s="8">
        <v>74.52</v>
      </c>
    </row>
    <row r="63" spans="1:8" x14ac:dyDescent="0.25">
      <c r="A63" s="33" t="s">
        <v>18</v>
      </c>
      <c r="B63" s="34" t="s">
        <v>31</v>
      </c>
      <c r="C63" s="34" t="s">
        <v>42</v>
      </c>
      <c r="D63" s="9">
        <v>3</v>
      </c>
      <c r="E63" s="9">
        <v>15988</v>
      </c>
      <c r="F63" s="9">
        <v>2010</v>
      </c>
      <c r="G63" s="10">
        <v>0.12</v>
      </c>
      <c r="H63" s="11">
        <v>1918.56</v>
      </c>
    </row>
    <row r="64" spans="1:8" x14ac:dyDescent="0.25">
      <c r="A64" s="31" t="s">
        <v>21</v>
      </c>
      <c r="B64" s="32" t="s">
        <v>33</v>
      </c>
      <c r="C64" s="32" t="s">
        <v>44</v>
      </c>
      <c r="D64" s="6">
        <v>5</v>
      </c>
      <c r="E64" s="6">
        <v>7472</v>
      </c>
      <c r="F64" s="6">
        <v>2012</v>
      </c>
      <c r="G64" s="7">
        <v>0.05</v>
      </c>
      <c r="H64" s="8">
        <v>373.6</v>
      </c>
    </row>
    <row r="65" spans="1:8" x14ac:dyDescent="0.25">
      <c r="A65" s="33" t="s">
        <v>24</v>
      </c>
      <c r="B65" s="34" t="s">
        <v>35</v>
      </c>
      <c r="C65" s="34" t="s">
        <v>46</v>
      </c>
      <c r="D65" s="9">
        <v>19</v>
      </c>
      <c r="E65" s="9">
        <v>8682</v>
      </c>
      <c r="F65" s="9">
        <v>2013</v>
      </c>
      <c r="G65" s="10">
        <v>0.02</v>
      </c>
      <c r="H65" s="11">
        <v>173.64</v>
      </c>
    </row>
    <row r="66" spans="1:8" x14ac:dyDescent="0.25">
      <c r="A66" s="31" t="s">
        <v>1</v>
      </c>
      <c r="B66" s="32" t="s">
        <v>37</v>
      </c>
      <c r="C66" s="32" t="s">
        <v>48</v>
      </c>
      <c r="D66" s="6">
        <v>16</v>
      </c>
      <c r="E66" s="6">
        <v>5342</v>
      </c>
      <c r="F66" s="6">
        <v>2011</v>
      </c>
      <c r="G66" s="7">
        <v>0.02</v>
      </c>
      <c r="H66" s="8">
        <v>106.84</v>
      </c>
    </row>
    <row r="67" spans="1:8" x14ac:dyDescent="0.25">
      <c r="A67" s="33" t="s">
        <v>10</v>
      </c>
      <c r="B67" s="34" t="s">
        <v>39</v>
      </c>
      <c r="C67" s="34" t="s">
        <v>49</v>
      </c>
      <c r="D67" s="9">
        <v>14</v>
      </c>
      <c r="E67" s="9">
        <v>21496</v>
      </c>
      <c r="F67" s="9">
        <v>2010</v>
      </c>
      <c r="G67" s="10">
        <v>0.09</v>
      </c>
      <c r="H67" s="11">
        <v>1934.64</v>
      </c>
    </row>
    <row r="68" spans="1:8" x14ac:dyDescent="0.25">
      <c r="A68" s="31" t="s">
        <v>12</v>
      </c>
      <c r="B68" s="32" t="s">
        <v>41</v>
      </c>
      <c r="C68" s="32" t="s">
        <v>50</v>
      </c>
      <c r="D68" s="6">
        <v>6</v>
      </c>
      <c r="E68" s="6">
        <v>8451</v>
      </c>
      <c r="F68" s="6">
        <v>2013</v>
      </c>
      <c r="G68" s="7">
        <v>0.09</v>
      </c>
      <c r="H68" s="8">
        <v>760.59</v>
      </c>
    </row>
    <row r="69" spans="1:8" x14ac:dyDescent="0.25">
      <c r="A69" s="33" t="s">
        <v>15</v>
      </c>
      <c r="B69" s="34" t="s">
        <v>43</v>
      </c>
      <c r="C69" s="34" t="s">
        <v>51</v>
      </c>
      <c r="D69" s="9">
        <v>4</v>
      </c>
      <c r="E69" s="9">
        <v>3783</v>
      </c>
      <c r="F69" s="9">
        <v>2011</v>
      </c>
      <c r="G69" s="10">
        <v>0.04</v>
      </c>
      <c r="H69" s="11">
        <v>151.32</v>
      </c>
    </row>
    <row r="70" spans="1:8" x14ac:dyDescent="0.25">
      <c r="A70" s="31" t="s">
        <v>18</v>
      </c>
      <c r="B70" s="32" t="s">
        <v>45</v>
      </c>
      <c r="C70" s="32" t="s">
        <v>52</v>
      </c>
      <c r="D70" s="6">
        <v>18</v>
      </c>
      <c r="E70" s="6">
        <v>1681</v>
      </c>
      <c r="F70" s="6">
        <v>2012</v>
      </c>
      <c r="G70" s="7">
        <v>0.01</v>
      </c>
      <c r="H70" s="8">
        <v>16.809999999999999</v>
      </c>
    </row>
    <row r="71" spans="1:8" x14ac:dyDescent="0.25">
      <c r="A71" s="33" t="s">
        <v>21</v>
      </c>
      <c r="B71" s="34" t="s">
        <v>47</v>
      </c>
      <c r="C71" s="34" t="s">
        <v>53</v>
      </c>
      <c r="D71" s="9">
        <v>1</v>
      </c>
      <c r="E71" s="9">
        <v>13915</v>
      </c>
      <c r="F71" s="9">
        <v>2012</v>
      </c>
      <c r="G71" s="10">
        <v>0.14000000000000001</v>
      </c>
      <c r="H71" s="11">
        <v>1948.1</v>
      </c>
    </row>
    <row r="72" spans="1:8" x14ac:dyDescent="0.25">
      <c r="A72" s="31" t="s">
        <v>24</v>
      </c>
      <c r="B72" s="32" t="s">
        <v>11</v>
      </c>
      <c r="C72" s="32" t="s">
        <v>54</v>
      </c>
      <c r="D72" s="6">
        <v>3</v>
      </c>
      <c r="E72" s="6">
        <v>3643</v>
      </c>
      <c r="F72" s="6">
        <v>2012</v>
      </c>
      <c r="G72" s="7">
        <v>0.03</v>
      </c>
      <c r="H72" s="8">
        <v>109.29</v>
      </c>
    </row>
    <row r="73" spans="1:8" x14ac:dyDescent="0.25">
      <c r="A73" s="33" t="s">
        <v>1</v>
      </c>
      <c r="B73" s="34" t="s">
        <v>13</v>
      </c>
      <c r="C73" s="34" t="s">
        <v>105</v>
      </c>
      <c r="D73" s="9">
        <v>9</v>
      </c>
      <c r="E73" s="9">
        <v>388</v>
      </c>
      <c r="F73" s="9">
        <v>2013</v>
      </c>
      <c r="G73" s="10">
        <v>0.05</v>
      </c>
      <c r="H73" s="11">
        <v>19.399999999999999</v>
      </c>
    </row>
    <row r="74" spans="1:8" x14ac:dyDescent="0.25">
      <c r="A74" s="31" t="s">
        <v>10</v>
      </c>
      <c r="B74" s="32" t="s">
        <v>16</v>
      </c>
      <c r="C74" s="32" t="s">
        <v>14</v>
      </c>
      <c r="D74" s="6">
        <v>10</v>
      </c>
      <c r="E74" s="6">
        <v>5935</v>
      </c>
      <c r="F74" s="6">
        <v>2011</v>
      </c>
      <c r="G74" s="7">
        <v>0.09</v>
      </c>
      <c r="H74" s="8">
        <v>534.15</v>
      </c>
    </row>
    <row r="75" spans="1:8" x14ac:dyDescent="0.25">
      <c r="A75" s="33" t="s">
        <v>12</v>
      </c>
      <c r="B75" s="34" t="s">
        <v>19</v>
      </c>
      <c r="C75" s="34" t="s">
        <v>17</v>
      </c>
      <c r="D75" s="9">
        <v>12</v>
      </c>
      <c r="E75" s="9">
        <v>9966</v>
      </c>
      <c r="F75" s="9">
        <v>2011</v>
      </c>
      <c r="G75" s="10">
        <v>0.17</v>
      </c>
      <c r="H75" s="11">
        <v>1694.22</v>
      </c>
    </row>
    <row r="76" spans="1:8" x14ac:dyDescent="0.25">
      <c r="A76" s="31" t="s">
        <v>15</v>
      </c>
      <c r="B76" s="32" t="s">
        <v>22</v>
      </c>
      <c r="C76" s="32" t="s">
        <v>20</v>
      </c>
      <c r="D76" s="6">
        <v>7</v>
      </c>
      <c r="E76" s="6">
        <v>2186</v>
      </c>
      <c r="F76" s="6">
        <v>2011</v>
      </c>
      <c r="G76" s="7">
        <v>0.1</v>
      </c>
      <c r="H76" s="8">
        <v>218.6</v>
      </c>
    </row>
    <row r="77" spans="1:8" x14ac:dyDescent="0.25">
      <c r="A77" s="33" t="s">
        <v>18</v>
      </c>
      <c r="B77" s="34" t="s">
        <v>25</v>
      </c>
      <c r="C77" s="34" t="s">
        <v>23</v>
      </c>
      <c r="D77" s="9">
        <v>15</v>
      </c>
      <c r="E77" s="9">
        <v>5664</v>
      </c>
      <c r="F77" s="9">
        <v>2012</v>
      </c>
      <c r="G77" s="10">
        <v>0.03</v>
      </c>
      <c r="H77" s="11">
        <v>169.92</v>
      </c>
    </row>
    <row r="78" spans="1:8" x14ac:dyDescent="0.25">
      <c r="A78" s="31" t="s">
        <v>21</v>
      </c>
      <c r="B78" s="32" t="s">
        <v>27</v>
      </c>
      <c r="C78" s="32" t="s">
        <v>26</v>
      </c>
      <c r="D78" s="6">
        <v>16</v>
      </c>
      <c r="E78" s="6">
        <v>6898</v>
      </c>
      <c r="F78" s="6">
        <v>2013</v>
      </c>
      <c r="G78" s="7">
        <v>0.05</v>
      </c>
      <c r="H78" s="8">
        <v>344.9</v>
      </c>
    </row>
    <row r="79" spans="1:8" x14ac:dyDescent="0.25">
      <c r="A79" s="33" t="s">
        <v>24</v>
      </c>
      <c r="B79" s="34" t="s">
        <v>29</v>
      </c>
      <c r="C79" s="34" t="s">
        <v>28</v>
      </c>
      <c r="D79" s="9">
        <v>12</v>
      </c>
      <c r="E79" s="9">
        <v>14748</v>
      </c>
      <c r="F79" s="9">
        <v>2011</v>
      </c>
      <c r="G79" s="10">
        <v>0.18</v>
      </c>
      <c r="H79" s="11">
        <v>2654.64</v>
      </c>
    </row>
    <row r="80" spans="1:8" x14ac:dyDescent="0.25">
      <c r="A80" s="31" t="s">
        <v>1</v>
      </c>
      <c r="B80" s="32" t="s">
        <v>31</v>
      </c>
      <c r="C80" s="32" t="s">
        <v>30</v>
      </c>
      <c r="D80" s="6">
        <v>3</v>
      </c>
      <c r="E80" s="6">
        <v>4862</v>
      </c>
      <c r="F80" s="6">
        <v>2013</v>
      </c>
      <c r="G80" s="7">
        <v>0.02</v>
      </c>
      <c r="H80" s="8">
        <v>97.24</v>
      </c>
    </row>
    <row r="81" spans="1:8" x14ac:dyDescent="0.25">
      <c r="A81" s="33" t="s">
        <v>10</v>
      </c>
      <c r="B81" s="34" t="s">
        <v>33</v>
      </c>
      <c r="C81" s="34" t="s">
        <v>32</v>
      </c>
      <c r="D81" s="9">
        <v>5</v>
      </c>
      <c r="E81" s="9">
        <v>3674</v>
      </c>
      <c r="F81" s="9">
        <v>2010</v>
      </c>
      <c r="G81" s="10">
        <v>0.09</v>
      </c>
      <c r="H81" s="11">
        <v>330.66</v>
      </c>
    </row>
    <row r="82" spans="1:8" x14ac:dyDescent="0.25">
      <c r="A82" s="31" t="s">
        <v>12</v>
      </c>
      <c r="B82" s="32" t="s">
        <v>35</v>
      </c>
      <c r="C82" s="32" t="s">
        <v>34</v>
      </c>
      <c r="D82" s="6">
        <v>8</v>
      </c>
      <c r="E82" s="6">
        <v>7452</v>
      </c>
      <c r="F82" s="6">
        <v>2011</v>
      </c>
      <c r="G82" s="7">
        <v>0.01</v>
      </c>
      <c r="H82" s="8">
        <v>74.52</v>
      </c>
    </row>
    <row r="83" spans="1:8" x14ac:dyDescent="0.25">
      <c r="A83" s="35" t="s">
        <v>15</v>
      </c>
      <c r="B83" s="36" t="s">
        <v>37</v>
      </c>
      <c r="C83" s="36" t="s">
        <v>36</v>
      </c>
      <c r="D83" s="12">
        <v>17</v>
      </c>
      <c r="E83" s="12">
        <v>15988</v>
      </c>
      <c r="F83" s="12">
        <v>2010</v>
      </c>
      <c r="G83" s="13">
        <v>0.12</v>
      </c>
      <c r="H83" s="14">
        <v>1918.56</v>
      </c>
    </row>
  </sheetData>
  <pageMargins left="0.70866141732283472" right="0.70866141732283472" top="0.74803149606299213" bottom="0.74803149606299213" header="0.31496062992125984" footer="0.31496062992125984"/>
  <pageSetup paperSize="9" orientation="portrait" cellComments="atEnd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R41"/>
  <sheetViews>
    <sheetView workbookViewId="0">
      <selection activeCell="E12" sqref="E12"/>
    </sheetView>
  </sheetViews>
  <sheetFormatPr baseColWidth="10" defaultRowHeight="15" x14ac:dyDescent="0.25"/>
  <cols>
    <col min="1" max="1" width="12" customWidth="1"/>
    <col min="2" max="4" width="11.42578125" customWidth="1"/>
    <col min="6" max="8" width="11.42578125" customWidth="1"/>
    <col min="10" max="11" width="11.42578125" customWidth="1"/>
    <col min="12" max="12" width="13.42578125" customWidth="1"/>
    <col min="14" max="14" width="11.42578125" customWidth="1"/>
    <col min="15" max="15" width="12.85546875" customWidth="1"/>
    <col min="16" max="16" width="12.140625" customWidth="1"/>
  </cols>
  <sheetData>
    <row r="1" spans="1:18" ht="20.25" x14ac:dyDescent="0.4">
      <c r="B1" s="15" t="s">
        <v>55</v>
      </c>
    </row>
    <row r="5" spans="1:18" x14ac:dyDescent="0.25">
      <c r="A5" t="s">
        <v>2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</row>
    <row r="6" spans="1:18" x14ac:dyDescent="0.25">
      <c r="A6" t="s">
        <v>73</v>
      </c>
      <c r="B6">
        <v>37685</v>
      </c>
      <c r="C6">
        <v>17703</v>
      </c>
      <c r="D6">
        <v>29023</v>
      </c>
      <c r="E6">
        <f>SUM(B6:D6)</f>
        <v>84411</v>
      </c>
      <c r="F6">
        <v>30896</v>
      </c>
      <c r="G6">
        <v>33523</v>
      </c>
      <c r="H6">
        <v>33044</v>
      </c>
      <c r="I6">
        <f>SUM(F6:H6)</f>
        <v>97463</v>
      </c>
      <c r="J6">
        <v>37185</v>
      </c>
      <c r="K6">
        <v>34720</v>
      </c>
      <c r="L6">
        <v>39849</v>
      </c>
      <c r="M6">
        <f>SUM(J6:L6)</f>
        <v>111754</v>
      </c>
      <c r="N6">
        <v>24368</v>
      </c>
      <c r="O6">
        <v>37577</v>
      </c>
      <c r="P6">
        <v>37972</v>
      </c>
      <c r="Q6">
        <f>SUM(N6:P6)</f>
        <v>99917</v>
      </c>
      <c r="R6">
        <f>+E6+I6+M6+Q6</f>
        <v>393545</v>
      </c>
    </row>
    <row r="7" spans="1:18" x14ac:dyDescent="0.25">
      <c r="A7" t="s">
        <v>24</v>
      </c>
      <c r="B7">
        <v>55346</v>
      </c>
      <c r="C7">
        <v>35004</v>
      </c>
      <c r="D7">
        <v>27960</v>
      </c>
      <c r="E7">
        <f t="shared" ref="E7:E41" si="0">SUM(B7:D7)</f>
        <v>118310</v>
      </c>
      <c r="F7">
        <v>51107</v>
      </c>
      <c r="G7">
        <v>47467</v>
      </c>
      <c r="H7">
        <v>25022</v>
      </c>
      <c r="I7">
        <f t="shared" ref="I7:I41" si="1">SUM(F7:H7)</f>
        <v>123596</v>
      </c>
      <c r="J7">
        <v>32171</v>
      </c>
      <c r="K7">
        <v>43584</v>
      </c>
      <c r="L7">
        <v>33463</v>
      </c>
      <c r="M7">
        <f t="shared" ref="M7:M41" si="2">SUM(J7:L7)</f>
        <v>109218</v>
      </c>
      <c r="N7">
        <v>39815</v>
      </c>
      <c r="O7">
        <v>47412</v>
      </c>
      <c r="P7">
        <v>41051</v>
      </c>
      <c r="Q7">
        <f t="shared" ref="Q7:Q41" si="3">SUM(N7:P7)</f>
        <v>128278</v>
      </c>
      <c r="R7">
        <f t="shared" ref="R7:R41" si="4">+E7+I7+M7+Q7</f>
        <v>479402</v>
      </c>
    </row>
    <row r="8" spans="1:18" x14ac:dyDescent="0.25">
      <c r="A8" t="s">
        <v>74</v>
      </c>
      <c r="B8">
        <v>33527</v>
      </c>
      <c r="C8">
        <v>40075</v>
      </c>
      <c r="D8">
        <v>43239</v>
      </c>
      <c r="E8">
        <f t="shared" si="0"/>
        <v>116841</v>
      </c>
      <c r="F8">
        <v>33422</v>
      </c>
      <c r="G8">
        <v>32833</v>
      </c>
      <c r="H8">
        <v>35679</v>
      </c>
      <c r="I8">
        <f t="shared" si="1"/>
        <v>101934</v>
      </c>
      <c r="J8">
        <v>21419</v>
      </c>
      <c r="K8">
        <v>45982</v>
      </c>
      <c r="L8">
        <v>29073</v>
      </c>
      <c r="M8">
        <f t="shared" si="2"/>
        <v>96474</v>
      </c>
      <c r="N8">
        <v>37263</v>
      </c>
      <c r="O8">
        <v>44724</v>
      </c>
      <c r="P8">
        <v>31815</v>
      </c>
      <c r="Q8">
        <f t="shared" si="3"/>
        <v>113802</v>
      </c>
      <c r="R8">
        <f t="shared" si="4"/>
        <v>429051</v>
      </c>
    </row>
    <row r="9" spans="1:18" x14ac:dyDescent="0.25">
      <c r="A9" t="s">
        <v>75</v>
      </c>
      <c r="B9">
        <v>42869</v>
      </c>
      <c r="C9">
        <v>43717</v>
      </c>
      <c r="D9">
        <v>34883</v>
      </c>
      <c r="E9">
        <f t="shared" si="0"/>
        <v>121469</v>
      </c>
      <c r="F9">
        <v>38857</v>
      </c>
      <c r="G9">
        <v>35257</v>
      </c>
      <c r="H9">
        <v>38926</v>
      </c>
      <c r="I9">
        <f t="shared" si="1"/>
        <v>113040</v>
      </c>
      <c r="J9">
        <v>37772</v>
      </c>
      <c r="K9">
        <v>64090</v>
      </c>
      <c r="L9">
        <v>29468</v>
      </c>
      <c r="M9">
        <f t="shared" si="2"/>
        <v>131330</v>
      </c>
      <c r="N9">
        <v>34694</v>
      </c>
      <c r="O9">
        <v>35030</v>
      </c>
      <c r="P9">
        <v>45613</v>
      </c>
      <c r="Q9">
        <f t="shared" si="3"/>
        <v>115337</v>
      </c>
      <c r="R9">
        <f t="shared" si="4"/>
        <v>481176</v>
      </c>
    </row>
    <row r="10" spans="1:18" x14ac:dyDescent="0.25">
      <c r="A10" t="s">
        <v>76</v>
      </c>
      <c r="B10">
        <v>38235</v>
      </c>
      <c r="C10">
        <v>28047</v>
      </c>
      <c r="D10">
        <v>50367</v>
      </c>
      <c r="E10">
        <f t="shared" si="0"/>
        <v>116649</v>
      </c>
      <c r="F10">
        <v>40955</v>
      </c>
      <c r="G10">
        <v>42889</v>
      </c>
      <c r="H10">
        <v>44797</v>
      </c>
      <c r="I10">
        <f t="shared" si="1"/>
        <v>128641</v>
      </c>
      <c r="J10">
        <v>31937</v>
      </c>
      <c r="K10">
        <v>40534</v>
      </c>
      <c r="L10">
        <v>26419</v>
      </c>
      <c r="M10">
        <f t="shared" si="2"/>
        <v>98890</v>
      </c>
      <c r="N10">
        <v>30878</v>
      </c>
      <c r="O10">
        <v>45801</v>
      </c>
      <c r="P10">
        <v>29227</v>
      </c>
      <c r="Q10">
        <f t="shared" si="3"/>
        <v>105906</v>
      </c>
      <c r="R10">
        <f t="shared" si="4"/>
        <v>450086</v>
      </c>
    </row>
    <row r="11" spans="1:18" x14ac:dyDescent="0.25">
      <c r="A11" t="s">
        <v>77</v>
      </c>
      <c r="B11">
        <v>35359</v>
      </c>
      <c r="C11">
        <v>43748</v>
      </c>
      <c r="D11">
        <v>35162</v>
      </c>
      <c r="E11">
        <f t="shared" si="0"/>
        <v>114269</v>
      </c>
      <c r="F11">
        <v>22828</v>
      </c>
      <c r="G11">
        <v>37651</v>
      </c>
      <c r="H11">
        <v>36820</v>
      </c>
      <c r="I11">
        <f t="shared" si="1"/>
        <v>97299</v>
      </c>
      <c r="J11">
        <v>53492</v>
      </c>
      <c r="K11">
        <v>34707</v>
      </c>
      <c r="L11">
        <v>18747</v>
      </c>
      <c r="M11">
        <f t="shared" si="2"/>
        <v>106946</v>
      </c>
      <c r="N11">
        <v>38711</v>
      </c>
      <c r="O11">
        <v>30227</v>
      </c>
      <c r="P11">
        <v>47246</v>
      </c>
      <c r="Q11">
        <f t="shared" si="3"/>
        <v>116184</v>
      </c>
      <c r="R11">
        <f t="shared" si="4"/>
        <v>434698</v>
      </c>
    </row>
    <row r="12" spans="1:18" x14ac:dyDescent="0.25">
      <c r="A12" t="s">
        <v>78</v>
      </c>
      <c r="B12">
        <v>29736</v>
      </c>
      <c r="C12">
        <v>45569</v>
      </c>
      <c r="D12">
        <v>32760</v>
      </c>
      <c r="E12">
        <f t="shared" si="0"/>
        <v>108065</v>
      </c>
      <c r="F12">
        <v>34527</v>
      </c>
      <c r="G12">
        <v>31016</v>
      </c>
      <c r="H12">
        <v>48317</v>
      </c>
      <c r="I12">
        <f t="shared" si="1"/>
        <v>113860</v>
      </c>
      <c r="J12">
        <v>57196</v>
      </c>
      <c r="K12">
        <v>38714</v>
      </c>
      <c r="L12">
        <v>40813</v>
      </c>
      <c r="M12">
        <f t="shared" si="2"/>
        <v>136723</v>
      </c>
      <c r="N12">
        <v>31375</v>
      </c>
      <c r="O12">
        <v>51320</v>
      </c>
      <c r="P12">
        <v>37368</v>
      </c>
      <c r="Q12">
        <f t="shared" si="3"/>
        <v>120063</v>
      </c>
      <c r="R12">
        <f t="shared" si="4"/>
        <v>478711</v>
      </c>
    </row>
    <row r="13" spans="1:18" x14ac:dyDescent="0.25">
      <c r="A13" t="s">
        <v>79</v>
      </c>
      <c r="B13">
        <v>39890</v>
      </c>
      <c r="C13">
        <v>34686</v>
      </c>
      <c r="D13">
        <v>34849</v>
      </c>
      <c r="E13">
        <f t="shared" si="0"/>
        <v>109425</v>
      </c>
      <c r="F13">
        <v>36682</v>
      </c>
      <c r="G13">
        <v>51290</v>
      </c>
      <c r="H13">
        <v>51593</v>
      </c>
      <c r="I13">
        <f t="shared" si="1"/>
        <v>139565</v>
      </c>
      <c r="J13">
        <v>35471</v>
      </c>
      <c r="K13">
        <v>53167</v>
      </c>
      <c r="L13">
        <v>54074</v>
      </c>
      <c r="M13">
        <f t="shared" si="2"/>
        <v>142712</v>
      </c>
      <c r="N13">
        <v>48759</v>
      </c>
      <c r="O13">
        <v>39115</v>
      </c>
      <c r="P13">
        <v>37188</v>
      </c>
      <c r="Q13">
        <f t="shared" si="3"/>
        <v>125062</v>
      </c>
      <c r="R13">
        <f t="shared" si="4"/>
        <v>516764</v>
      </c>
    </row>
    <row r="14" spans="1:18" x14ac:dyDescent="0.25">
      <c r="A14" t="s">
        <v>80</v>
      </c>
      <c r="B14">
        <v>31222</v>
      </c>
      <c r="C14">
        <v>43741</v>
      </c>
      <c r="D14">
        <v>39061</v>
      </c>
      <c r="E14">
        <f t="shared" si="0"/>
        <v>114024</v>
      </c>
      <c r="F14">
        <v>37300</v>
      </c>
      <c r="G14">
        <v>46344</v>
      </c>
      <c r="H14">
        <v>45303</v>
      </c>
      <c r="I14">
        <f t="shared" si="1"/>
        <v>128947</v>
      </c>
      <c r="J14">
        <v>41849</v>
      </c>
      <c r="K14">
        <v>39972</v>
      </c>
      <c r="L14">
        <v>34174</v>
      </c>
      <c r="M14">
        <f t="shared" si="2"/>
        <v>115995</v>
      </c>
      <c r="N14">
        <v>43633</v>
      </c>
      <c r="O14">
        <v>37758</v>
      </c>
      <c r="P14">
        <v>45649</v>
      </c>
      <c r="Q14">
        <f t="shared" si="3"/>
        <v>127040</v>
      </c>
      <c r="R14">
        <f t="shared" si="4"/>
        <v>486006</v>
      </c>
    </row>
    <row r="15" spans="1:18" x14ac:dyDescent="0.25">
      <c r="A15" t="s">
        <v>81</v>
      </c>
      <c r="B15">
        <v>32704</v>
      </c>
      <c r="C15">
        <v>37594</v>
      </c>
      <c r="D15">
        <v>44548</v>
      </c>
      <c r="E15">
        <f t="shared" si="0"/>
        <v>114846</v>
      </c>
      <c r="F15">
        <v>40578</v>
      </c>
      <c r="G15">
        <v>32755</v>
      </c>
      <c r="H15">
        <v>36110</v>
      </c>
      <c r="I15">
        <f t="shared" si="1"/>
        <v>109443</v>
      </c>
      <c r="J15">
        <v>40038</v>
      </c>
      <c r="K15">
        <v>44487</v>
      </c>
      <c r="L15">
        <v>44159</v>
      </c>
      <c r="M15">
        <f t="shared" si="2"/>
        <v>128684</v>
      </c>
      <c r="N15">
        <v>38797</v>
      </c>
      <c r="O15">
        <v>36559</v>
      </c>
      <c r="P15">
        <v>33771</v>
      </c>
      <c r="Q15">
        <f t="shared" si="3"/>
        <v>109127</v>
      </c>
      <c r="R15">
        <f t="shared" si="4"/>
        <v>462100</v>
      </c>
    </row>
    <row r="16" spans="1:18" x14ac:dyDescent="0.25">
      <c r="A16" t="s">
        <v>82</v>
      </c>
      <c r="B16">
        <v>26792</v>
      </c>
      <c r="C16">
        <v>54831</v>
      </c>
      <c r="D16">
        <v>31184</v>
      </c>
      <c r="E16">
        <f t="shared" si="0"/>
        <v>112807</v>
      </c>
      <c r="F16">
        <v>40030</v>
      </c>
      <c r="G16">
        <v>31107</v>
      </c>
      <c r="H16">
        <v>31590</v>
      </c>
      <c r="I16">
        <f t="shared" si="1"/>
        <v>102727</v>
      </c>
      <c r="J16">
        <v>35881</v>
      </c>
      <c r="K16">
        <v>42859</v>
      </c>
      <c r="L16">
        <v>35605</v>
      </c>
      <c r="M16">
        <f t="shared" si="2"/>
        <v>114345</v>
      </c>
      <c r="N16">
        <v>47527</v>
      </c>
      <c r="O16">
        <v>31012</v>
      </c>
      <c r="P16">
        <v>39951</v>
      </c>
      <c r="Q16">
        <f t="shared" si="3"/>
        <v>118490</v>
      </c>
      <c r="R16">
        <f t="shared" si="4"/>
        <v>448369</v>
      </c>
    </row>
    <row r="17" spans="1:18" x14ac:dyDescent="0.25">
      <c r="A17" t="s">
        <v>83</v>
      </c>
      <c r="B17">
        <v>51535</v>
      </c>
      <c r="C17">
        <v>40312</v>
      </c>
      <c r="D17">
        <v>38662</v>
      </c>
      <c r="E17">
        <f t="shared" si="0"/>
        <v>130509</v>
      </c>
      <c r="F17">
        <v>29504</v>
      </c>
      <c r="G17">
        <v>36986</v>
      </c>
      <c r="H17">
        <v>42647</v>
      </c>
      <c r="I17">
        <f t="shared" si="1"/>
        <v>109137</v>
      </c>
      <c r="J17">
        <v>36612</v>
      </c>
      <c r="K17">
        <v>27318</v>
      </c>
      <c r="L17">
        <v>38237</v>
      </c>
      <c r="M17">
        <f t="shared" si="2"/>
        <v>102167</v>
      </c>
      <c r="N17">
        <v>42614</v>
      </c>
      <c r="O17">
        <v>26281</v>
      </c>
      <c r="P17">
        <v>21900</v>
      </c>
      <c r="Q17">
        <f t="shared" si="3"/>
        <v>90795</v>
      </c>
      <c r="R17">
        <f t="shared" si="4"/>
        <v>432608</v>
      </c>
    </row>
    <row r="18" spans="1:18" x14ac:dyDescent="0.25">
      <c r="A18" t="s">
        <v>84</v>
      </c>
      <c r="B18">
        <v>36266</v>
      </c>
      <c r="C18">
        <v>44971</v>
      </c>
      <c r="D18">
        <v>40449</v>
      </c>
      <c r="E18">
        <f t="shared" si="0"/>
        <v>121686</v>
      </c>
      <c r="F18">
        <v>37680</v>
      </c>
      <c r="G18">
        <v>49223</v>
      </c>
      <c r="H18">
        <v>31205</v>
      </c>
      <c r="I18">
        <f t="shared" si="1"/>
        <v>118108</v>
      </c>
      <c r="J18">
        <v>49206</v>
      </c>
      <c r="K18">
        <v>35584</v>
      </c>
      <c r="L18">
        <v>29114</v>
      </c>
      <c r="M18">
        <f t="shared" si="2"/>
        <v>113904</v>
      </c>
      <c r="N18">
        <v>32416</v>
      </c>
      <c r="O18">
        <v>39979</v>
      </c>
      <c r="P18">
        <v>31622</v>
      </c>
      <c r="Q18">
        <f t="shared" si="3"/>
        <v>104017</v>
      </c>
      <c r="R18">
        <f t="shared" si="4"/>
        <v>457715</v>
      </c>
    </row>
    <row r="19" spans="1:18" x14ac:dyDescent="0.25">
      <c r="A19" t="s">
        <v>73</v>
      </c>
      <c r="B19">
        <v>37685</v>
      </c>
      <c r="C19">
        <v>17703</v>
      </c>
      <c r="D19">
        <v>29023</v>
      </c>
      <c r="E19">
        <f t="shared" si="0"/>
        <v>84411</v>
      </c>
      <c r="F19">
        <v>30896</v>
      </c>
      <c r="G19">
        <v>33523</v>
      </c>
      <c r="H19">
        <v>33044</v>
      </c>
      <c r="I19">
        <f t="shared" si="1"/>
        <v>97463</v>
      </c>
      <c r="J19">
        <v>37185</v>
      </c>
      <c r="K19">
        <v>34720</v>
      </c>
      <c r="L19">
        <v>39849</v>
      </c>
      <c r="M19">
        <f t="shared" si="2"/>
        <v>111754</v>
      </c>
      <c r="N19">
        <v>24368</v>
      </c>
      <c r="O19">
        <v>37577</v>
      </c>
      <c r="P19">
        <v>37972</v>
      </c>
      <c r="Q19">
        <f t="shared" si="3"/>
        <v>99917</v>
      </c>
      <c r="R19">
        <f t="shared" si="4"/>
        <v>393545</v>
      </c>
    </row>
    <row r="20" spans="1:18" x14ac:dyDescent="0.25">
      <c r="A20" t="s">
        <v>24</v>
      </c>
      <c r="B20">
        <v>55346</v>
      </c>
      <c r="C20">
        <v>35004</v>
      </c>
      <c r="D20">
        <v>27960</v>
      </c>
      <c r="E20">
        <f t="shared" si="0"/>
        <v>118310</v>
      </c>
      <c r="F20">
        <v>51107</v>
      </c>
      <c r="G20">
        <v>47467</v>
      </c>
      <c r="H20">
        <v>25022</v>
      </c>
      <c r="I20">
        <f t="shared" si="1"/>
        <v>123596</v>
      </c>
      <c r="J20">
        <v>32171</v>
      </c>
      <c r="K20">
        <v>43584</v>
      </c>
      <c r="L20">
        <v>33463</v>
      </c>
      <c r="M20">
        <f t="shared" si="2"/>
        <v>109218</v>
      </c>
      <c r="N20">
        <v>39815</v>
      </c>
      <c r="O20">
        <v>47412</v>
      </c>
      <c r="P20">
        <v>41051</v>
      </c>
      <c r="Q20">
        <f t="shared" si="3"/>
        <v>128278</v>
      </c>
      <c r="R20">
        <f t="shared" si="4"/>
        <v>479402</v>
      </c>
    </row>
    <row r="21" spans="1:18" x14ac:dyDescent="0.25">
      <c r="A21" t="s">
        <v>74</v>
      </c>
      <c r="B21">
        <v>33527</v>
      </c>
      <c r="C21">
        <v>40075</v>
      </c>
      <c r="D21">
        <v>43239</v>
      </c>
      <c r="E21">
        <f t="shared" si="0"/>
        <v>116841</v>
      </c>
      <c r="F21">
        <v>33422</v>
      </c>
      <c r="G21">
        <v>32833</v>
      </c>
      <c r="H21">
        <v>35679</v>
      </c>
      <c r="I21">
        <f t="shared" si="1"/>
        <v>101934</v>
      </c>
      <c r="J21">
        <v>21419</v>
      </c>
      <c r="K21">
        <v>45982</v>
      </c>
      <c r="L21">
        <v>29073</v>
      </c>
      <c r="M21">
        <f t="shared" si="2"/>
        <v>96474</v>
      </c>
      <c r="N21">
        <v>37263</v>
      </c>
      <c r="O21">
        <v>44724</v>
      </c>
      <c r="P21">
        <v>31815</v>
      </c>
      <c r="Q21">
        <f t="shared" si="3"/>
        <v>113802</v>
      </c>
      <c r="R21">
        <f t="shared" si="4"/>
        <v>429051</v>
      </c>
    </row>
    <row r="22" spans="1:18" x14ac:dyDescent="0.25">
      <c r="A22" t="s">
        <v>75</v>
      </c>
      <c r="B22">
        <v>42869</v>
      </c>
      <c r="C22">
        <v>43717</v>
      </c>
      <c r="D22">
        <v>34883</v>
      </c>
      <c r="E22">
        <f t="shared" si="0"/>
        <v>121469</v>
      </c>
      <c r="F22">
        <v>38857</v>
      </c>
      <c r="G22">
        <v>35257</v>
      </c>
      <c r="H22">
        <v>38926</v>
      </c>
      <c r="I22">
        <f t="shared" si="1"/>
        <v>113040</v>
      </c>
      <c r="J22">
        <v>37772</v>
      </c>
      <c r="K22">
        <v>64090</v>
      </c>
      <c r="L22">
        <v>29468</v>
      </c>
      <c r="M22">
        <f t="shared" si="2"/>
        <v>131330</v>
      </c>
      <c r="N22">
        <v>34694</v>
      </c>
      <c r="O22">
        <v>35030</v>
      </c>
      <c r="P22">
        <v>45613</v>
      </c>
      <c r="Q22">
        <f t="shared" si="3"/>
        <v>115337</v>
      </c>
      <c r="R22">
        <f t="shared" si="4"/>
        <v>481176</v>
      </c>
    </row>
    <row r="23" spans="1:18" x14ac:dyDescent="0.25">
      <c r="A23" t="s">
        <v>76</v>
      </c>
      <c r="B23">
        <v>38235</v>
      </c>
      <c r="C23">
        <v>28047</v>
      </c>
      <c r="D23">
        <v>50367</v>
      </c>
      <c r="E23">
        <f t="shared" si="0"/>
        <v>116649</v>
      </c>
      <c r="F23">
        <v>40955</v>
      </c>
      <c r="G23">
        <v>42889</v>
      </c>
      <c r="H23">
        <v>44797</v>
      </c>
      <c r="I23">
        <f t="shared" si="1"/>
        <v>128641</v>
      </c>
      <c r="J23">
        <v>31937</v>
      </c>
      <c r="K23">
        <v>40534</v>
      </c>
      <c r="L23">
        <v>26419</v>
      </c>
      <c r="M23">
        <f t="shared" si="2"/>
        <v>98890</v>
      </c>
      <c r="N23">
        <v>30878</v>
      </c>
      <c r="O23">
        <v>45801</v>
      </c>
      <c r="P23">
        <v>29227</v>
      </c>
      <c r="Q23">
        <f t="shared" si="3"/>
        <v>105906</v>
      </c>
      <c r="R23">
        <f t="shared" si="4"/>
        <v>450086</v>
      </c>
    </row>
    <row r="24" spans="1:18" x14ac:dyDescent="0.25">
      <c r="A24" t="s">
        <v>77</v>
      </c>
      <c r="B24">
        <v>35359</v>
      </c>
      <c r="C24">
        <v>43748</v>
      </c>
      <c r="D24">
        <v>35162</v>
      </c>
      <c r="E24">
        <f t="shared" si="0"/>
        <v>114269</v>
      </c>
      <c r="F24">
        <v>22828</v>
      </c>
      <c r="G24">
        <v>37651</v>
      </c>
      <c r="H24">
        <v>36820</v>
      </c>
      <c r="I24">
        <f t="shared" si="1"/>
        <v>97299</v>
      </c>
      <c r="J24">
        <v>53492</v>
      </c>
      <c r="K24">
        <v>34707</v>
      </c>
      <c r="L24">
        <v>18747</v>
      </c>
      <c r="M24">
        <f t="shared" si="2"/>
        <v>106946</v>
      </c>
      <c r="N24">
        <v>38711</v>
      </c>
      <c r="O24">
        <v>30227</v>
      </c>
      <c r="P24">
        <v>47246</v>
      </c>
      <c r="Q24">
        <f t="shared" si="3"/>
        <v>116184</v>
      </c>
      <c r="R24">
        <f t="shared" si="4"/>
        <v>434698</v>
      </c>
    </row>
    <row r="25" spans="1:18" x14ac:dyDescent="0.25">
      <c r="A25" t="s">
        <v>78</v>
      </c>
      <c r="B25">
        <v>29736</v>
      </c>
      <c r="C25">
        <v>45569</v>
      </c>
      <c r="D25">
        <v>32760</v>
      </c>
      <c r="E25">
        <f t="shared" si="0"/>
        <v>108065</v>
      </c>
      <c r="F25">
        <v>34527</v>
      </c>
      <c r="G25">
        <v>31016</v>
      </c>
      <c r="H25">
        <v>48317</v>
      </c>
      <c r="I25">
        <f t="shared" si="1"/>
        <v>113860</v>
      </c>
      <c r="J25">
        <v>57196</v>
      </c>
      <c r="K25">
        <v>38714</v>
      </c>
      <c r="L25">
        <v>40813</v>
      </c>
      <c r="M25">
        <f t="shared" si="2"/>
        <v>136723</v>
      </c>
      <c r="N25">
        <v>31375</v>
      </c>
      <c r="O25">
        <v>51320</v>
      </c>
      <c r="P25">
        <v>37368</v>
      </c>
      <c r="Q25">
        <f t="shared" si="3"/>
        <v>120063</v>
      </c>
      <c r="R25">
        <f t="shared" si="4"/>
        <v>478711</v>
      </c>
    </row>
    <row r="26" spans="1:18" x14ac:dyDescent="0.25">
      <c r="A26" t="s">
        <v>79</v>
      </c>
      <c r="B26">
        <v>39890</v>
      </c>
      <c r="C26">
        <v>34686</v>
      </c>
      <c r="D26">
        <v>34849</v>
      </c>
      <c r="E26">
        <f t="shared" si="0"/>
        <v>109425</v>
      </c>
      <c r="F26">
        <v>36682</v>
      </c>
      <c r="G26">
        <v>51290</v>
      </c>
      <c r="H26">
        <v>51593</v>
      </c>
      <c r="I26">
        <f t="shared" si="1"/>
        <v>139565</v>
      </c>
      <c r="J26">
        <v>35471</v>
      </c>
      <c r="K26">
        <v>53167</v>
      </c>
      <c r="L26">
        <v>54074</v>
      </c>
      <c r="M26">
        <f t="shared" si="2"/>
        <v>142712</v>
      </c>
      <c r="N26">
        <v>48759</v>
      </c>
      <c r="O26">
        <v>39115</v>
      </c>
      <c r="P26">
        <v>37188</v>
      </c>
      <c r="Q26">
        <f t="shared" si="3"/>
        <v>125062</v>
      </c>
      <c r="R26">
        <f t="shared" si="4"/>
        <v>516764</v>
      </c>
    </row>
    <row r="27" spans="1:18" x14ac:dyDescent="0.25">
      <c r="A27" t="s">
        <v>80</v>
      </c>
      <c r="B27">
        <v>31222</v>
      </c>
      <c r="C27">
        <v>43741</v>
      </c>
      <c r="D27">
        <v>39061</v>
      </c>
      <c r="E27">
        <f t="shared" si="0"/>
        <v>114024</v>
      </c>
      <c r="F27">
        <v>37300</v>
      </c>
      <c r="G27">
        <v>46344</v>
      </c>
      <c r="H27">
        <v>45303</v>
      </c>
      <c r="I27">
        <f t="shared" si="1"/>
        <v>128947</v>
      </c>
      <c r="J27">
        <v>41849</v>
      </c>
      <c r="K27">
        <v>39972</v>
      </c>
      <c r="L27">
        <v>34174</v>
      </c>
      <c r="M27">
        <f t="shared" si="2"/>
        <v>115995</v>
      </c>
      <c r="N27">
        <v>43633</v>
      </c>
      <c r="O27">
        <v>37758</v>
      </c>
      <c r="P27">
        <v>45649</v>
      </c>
      <c r="Q27">
        <f t="shared" si="3"/>
        <v>127040</v>
      </c>
      <c r="R27">
        <f t="shared" si="4"/>
        <v>486006</v>
      </c>
    </row>
    <row r="28" spans="1:18" x14ac:dyDescent="0.25">
      <c r="A28" t="s">
        <v>81</v>
      </c>
      <c r="B28">
        <v>32704</v>
      </c>
      <c r="C28">
        <v>37594</v>
      </c>
      <c r="D28">
        <v>44548</v>
      </c>
      <c r="E28">
        <f t="shared" si="0"/>
        <v>114846</v>
      </c>
      <c r="F28">
        <v>40578</v>
      </c>
      <c r="G28">
        <v>32755</v>
      </c>
      <c r="H28">
        <v>36110</v>
      </c>
      <c r="I28">
        <f t="shared" si="1"/>
        <v>109443</v>
      </c>
      <c r="J28">
        <v>40038</v>
      </c>
      <c r="K28">
        <v>44487</v>
      </c>
      <c r="L28">
        <v>44159</v>
      </c>
      <c r="M28">
        <f t="shared" si="2"/>
        <v>128684</v>
      </c>
      <c r="N28">
        <v>38797</v>
      </c>
      <c r="O28">
        <v>36559</v>
      </c>
      <c r="P28">
        <v>33771</v>
      </c>
      <c r="Q28">
        <f t="shared" si="3"/>
        <v>109127</v>
      </c>
      <c r="R28">
        <f t="shared" si="4"/>
        <v>462100</v>
      </c>
    </row>
    <row r="29" spans="1:18" x14ac:dyDescent="0.25">
      <c r="A29" t="s">
        <v>82</v>
      </c>
      <c r="B29">
        <v>26792</v>
      </c>
      <c r="C29">
        <v>54831</v>
      </c>
      <c r="D29">
        <v>31184</v>
      </c>
      <c r="E29">
        <f t="shared" si="0"/>
        <v>112807</v>
      </c>
      <c r="F29">
        <v>40030</v>
      </c>
      <c r="G29">
        <v>31107</v>
      </c>
      <c r="H29">
        <v>31590</v>
      </c>
      <c r="I29">
        <f t="shared" si="1"/>
        <v>102727</v>
      </c>
      <c r="J29">
        <v>35881</v>
      </c>
      <c r="K29">
        <v>42859</v>
      </c>
      <c r="L29">
        <v>35605</v>
      </c>
      <c r="M29">
        <f t="shared" si="2"/>
        <v>114345</v>
      </c>
      <c r="N29">
        <v>47527</v>
      </c>
      <c r="O29">
        <v>31012</v>
      </c>
      <c r="P29">
        <v>39951</v>
      </c>
      <c r="Q29">
        <f t="shared" si="3"/>
        <v>118490</v>
      </c>
      <c r="R29">
        <f t="shared" si="4"/>
        <v>448369</v>
      </c>
    </row>
    <row r="30" spans="1:18" x14ac:dyDescent="0.25">
      <c r="A30" t="s">
        <v>83</v>
      </c>
      <c r="B30">
        <v>51535</v>
      </c>
      <c r="C30">
        <v>40312</v>
      </c>
      <c r="D30">
        <v>38662</v>
      </c>
      <c r="E30">
        <f t="shared" si="0"/>
        <v>130509</v>
      </c>
      <c r="F30">
        <v>29504</v>
      </c>
      <c r="G30">
        <v>36986</v>
      </c>
      <c r="H30">
        <v>42647</v>
      </c>
      <c r="I30">
        <f t="shared" si="1"/>
        <v>109137</v>
      </c>
      <c r="J30">
        <v>36612</v>
      </c>
      <c r="K30">
        <v>27318</v>
      </c>
      <c r="L30">
        <v>38237</v>
      </c>
      <c r="M30">
        <f t="shared" si="2"/>
        <v>102167</v>
      </c>
      <c r="N30">
        <v>42614</v>
      </c>
      <c r="O30">
        <v>26281</v>
      </c>
      <c r="P30">
        <v>21900</v>
      </c>
      <c r="Q30">
        <f t="shared" si="3"/>
        <v>90795</v>
      </c>
      <c r="R30">
        <f t="shared" si="4"/>
        <v>432608</v>
      </c>
    </row>
    <row r="31" spans="1:18" x14ac:dyDescent="0.25">
      <c r="A31" t="s">
        <v>84</v>
      </c>
      <c r="B31">
        <v>36266</v>
      </c>
      <c r="C31">
        <v>44971</v>
      </c>
      <c r="D31">
        <v>40449</v>
      </c>
      <c r="E31">
        <f t="shared" si="0"/>
        <v>121686</v>
      </c>
      <c r="F31">
        <v>37680</v>
      </c>
      <c r="G31">
        <v>49223</v>
      </c>
      <c r="H31">
        <v>31205</v>
      </c>
      <c r="I31">
        <f t="shared" si="1"/>
        <v>118108</v>
      </c>
      <c r="J31">
        <v>49206</v>
      </c>
      <c r="K31">
        <v>35584</v>
      </c>
      <c r="L31">
        <v>29114</v>
      </c>
      <c r="M31">
        <f t="shared" si="2"/>
        <v>113904</v>
      </c>
      <c r="N31">
        <v>32416</v>
      </c>
      <c r="O31">
        <v>39979</v>
      </c>
      <c r="P31">
        <v>31622</v>
      </c>
      <c r="Q31">
        <f t="shared" si="3"/>
        <v>104017</v>
      </c>
      <c r="R31">
        <f t="shared" si="4"/>
        <v>457715</v>
      </c>
    </row>
    <row r="32" spans="1:18" x14ac:dyDescent="0.25">
      <c r="A32" t="s">
        <v>78</v>
      </c>
      <c r="B32">
        <v>29736</v>
      </c>
      <c r="C32">
        <v>45569</v>
      </c>
      <c r="D32">
        <v>32760</v>
      </c>
      <c r="E32">
        <f t="shared" si="0"/>
        <v>108065</v>
      </c>
      <c r="F32">
        <v>34527</v>
      </c>
      <c r="G32">
        <v>31016</v>
      </c>
      <c r="H32">
        <v>48317</v>
      </c>
      <c r="I32">
        <f t="shared" si="1"/>
        <v>113860</v>
      </c>
      <c r="J32">
        <v>57196</v>
      </c>
      <c r="K32">
        <v>38714</v>
      </c>
      <c r="L32">
        <v>40813</v>
      </c>
      <c r="M32">
        <f t="shared" si="2"/>
        <v>136723</v>
      </c>
      <c r="N32">
        <v>31375</v>
      </c>
      <c r="O32">
        <v>51320</v>
      </c>
      <c r="P32">
        <v>37368</v>
      </c>
      <c r="Q32">
        <f t="shared" si="3"/>
        <v>120063</v>
      </c>
      <c r="R32">
        <f t="shared" si="4"/>
        <v>478711</v>
      </c>
    </row>
    <row r="33" spans="1:18" x14ac:dyDescent="0.25">
      <c r="A33" t="s">
        <v>79</v>
      </c>
      <c r="B33">
        <v>39890</v>
      </c>
      <c r="C33">
        <v>34686</v>
      </c>
      <c r="D33">
        <v>34849</v>
      </c>
      <c r="E33">
        <f t="shared" si="0"/>
        <v>109425</v>
      </c>
      <c r="F33">
        <v>36682</v>
      </c>
      <c r="G33">
        <v>51290</v>
      </c>
      <c r="H33">
        <v>51593</v>
      </c>
      <c r="I33">
        <f t="shared" si="1"/>
        <v>139565</v>
      </c>
      <c r="J33">
        <v>35471</v>
      </c>
      <c r="K33">
        <v>53167</v>
      </c>
      <c r="L33">
        <v>54074</v>
      </c>
      <c r="M33">
        <f t="shared" si="2"/>
        <v>142712</v>
      </c>
      <c r="N33">
        <v>48759</v>
      </c>
      <c r="O33">
        <v>39115</v>
      </c>
      <c r="P33">
        <v>37188</v>
      </c>
      <c r="Q33">
        <f t="shared" si="3"/>
        <v>125062</v>
      </c>
      <c r="R33">
        <f t="shared" si="4"/>
        <v>516764</v>
      </c>
    </row>
    <row r="34" spans="1:18" x14ac:dyDescent="0.25">
      <c r="A34" t="s">
        <v>80</v>
      </c>
      <c r="B34">
        <v>31222</v>
      </c>
      <c r="C34">
        <v>43741</v>
      </c>
      <c r="D34">
        <v>39061</v>
      </c>
      <c r="E34">
        <f t="shared" si="0"/>
        <v>114024</v>
      </c>
      <c r="F34">
        <v>37300</v>
      </c>
      <c r="G34">
        <v>46344</v>
      </c>
      <c r="H34">
        <v>45303</v>
      </c>
      <c r="I34">
        <f t="shared" si="1"/>
        <v>128947</v>
      </c>
      <c r="J34">
        <v>41849</v>
      </c>
      <c r="K34">
        <v>39972</v>
      </c>
      <c r="L34">
        <v>34174</v>
      </c>
      <c r="M34">
        <f t="shared" si="2"/>
        <v>115995</v>
      </c>
      <c r="N34">
        <v>43633</v>
      </c>
      <c r="O34">
        <v>37758</v>
      </c>
      <c r="P34">
        <v>45649</v>
      </c>
      <c r="Q34">
        <f t="shared" si="3"/>
        <v>127040</v>
      </c>
      <c r="R34">
        <f t="shared" si="4"/>
        <v>486006</v>
      </c>
    </row>
    <row r="35" spans="1:18" x14ac:dyDescent="0.25">
      <c r="A35" t="s">
        <v>81</v>
      </c>
      <c r="B35">
        <v>32704</v>
      </c>
      <c r="C35">
        <v>37594</v>
      </c>
      <c r="D35">
        <v>44548</v>
      </c>
      <c r="E35">
        <f t="shared" si="0"/>
        <v>114846</v>
      </c>
      <c r="F35">
        <v>40578</v>
      </c>
      <c r="G35">
        <v>32755</v>
      </c>
      <c r="H35">
        <v>36110</v>
      </c>
      <c r="I35">
        <f t="shared" si="1"/>
        <v>109443</v>
      </c>
      <c r="J35">
        <v>40038</v>
      </c>
      <c r="K35">
        <v>44487</v>
      </c>
      <c r="L35">
        <v>44159</v>
      </c>
      <c r="M35">
        <f t="shared" si="2"/>
        <v>128684</v>
      </c>
      <c r="N35">
        <v>38797</v>
      </c>
      <c r="O35">
        <v>36559</v>
      </c>
      <c r="P35">
        <v>33771</v>
      </c>
      <c r="Q35">
        <f t="shared" si="3"/>
        <v>109127</v>
      </c>
      <c r="R35">
        <f t="shared" si="4"/>
        <v>462100</v>
      </c>
    </row>
    <row r="36" spans="1:18" x14ac:dyDescent="0.25">
      <c r="A36" t="s">
        <v>82</v>
      </c>
      <c r="B36">
        <v>26792</v>
      </c>
      <c r="C36">
        <v>54831</v>
      </c>
      <c r="D36">
        <v>31184</v>
      </c>
      <c r="E36">
        <f t="shared" si="0"/>
        <v>112807</v>
      </c>
      <c r="F36">
        <v>40030</v>
      </c>
      <c r="G36">
        <v>31107</v>
      </c>
      <c r="H36">
        <v>31590</v>
      </c>
      <c r="I36">
        <f t="shared" si="1"/>
        <v>102727</v>
      </c>
      <c r="J36">
        <v>35881</v>
      </c>
      <c r="K36">
        <v>42859</v>
      </c>
      <c r="L36">
        <v>35605</v>
      </c>
      <c r="M36">
        <f t="shared" si="2"/>
        <v>114345</v>
      </c>
      <c r="N36">
        <v>47527</v>
      </c>
      <c r="O36">
        <v>31012</v>
      </c>
      <c r="P36">
        <v>39951</v>
      </c>
      <c r="Q36">
        <f t="shared" si="3"/>
        <v>118490</v>
      </c>
      <c r="R36">
        <f t="shared" si="4"/>
        <v>448369</v>
      </c>
    </row>
    <row r="37" spans="1:18" x14ac:dyDescent="0.25">
      <c r="A37" t="s">
        <v>83</v>
      </c>
      <c r="B37">
        <v>51535</v>
      </c>
      <c r="C37">
        <v>40312</v>
      </c>
      <c r="D37">
        <v>38662</v>
      </c>
      <c r="E37">
        <f t="shared" si="0"/>
        <v>130509</v>
      </c>
      <c r="F37">
        <v>29504</v>
      </c>
      <c r="G37">
        <v>36986</v>
      </c>
      <c r="H37">
        <v>42647</v>
      </c>
      <c r="I37">
        <f t="shared" si="1"/>
        <v>109137</v>
      </c>
      <c r="J37">
        <v>36612</v>
      </c>
      <c r="K37">
        <v>27318</v>
      </c>
      <c r="L37">
        <v>38237</v>
      </c>
      <c r="M37">
        <f t="shared" si="2"/>
        <v>102167</v>
      </c>
      <c r="N37">
        <v>42614</v>
      </c>
      <c r="O37">
        <v>26281</v>
      </c>
      <c r="P37">
        <v>21900</v>
      </c>
      <c r="Q37">
        <f t="shared" si="3"/>
        <v>90795</v>
      </c>
      <c r="R37">
        <f t="shared" si="4"/>
        <v>432608</v>
      </c>
    </row>
    <row r="38" spans="1:18" x14ac:dyDescent="0.25">
      <c r="A38" t="s">
        <v>84</v>
      </c>
      <c r="B38">
        <v>36266</v>
      </c>
      <c r="C38">
        <v>44971</v>
      </c>
      <c r="D38">
        <v>40449</v>
      </c>
      <c r="E38">
        <f t="shared" si="0"/>
        <v>121686</v>
      </c>
      <c r="F38">
        <v>37680</v>
      </c>
      <c r="G38">
        <v>49223</v>
      </c>
      <c r="H38">
        <v>31205</v>
      </c>
      <c r="I38">
        <f t="shared" si="1"/>
        <v>118108</v>
      </c>
      <c r="J38">
        <v>49206</v>
      </c>
      <c r="K38">
        <v>35584</v>
      </c>
      <c r="L38">
        <v>29114</v>
      </c>
      <c r="M38">
        <f t="shared" si="2"/>
        <v>113904</v>
      </c>
      <c r="N38">
        <v>32416</v>
      </c>
      <c r="O38">
        <v>39979</v>
      </c>
      <c r="P38">
        <v>31622</v>
      </c>
      <c r="Q38">
        <f t="shared" si="3"/>
        <v>104017</v>
      </c>
      <c r="R38">
        <f t="shared" si="4"/>
        <v>457715</v>
      </c>
    </row>
    <row r="39" spans="1:18" x14ac:dyDescent="0.25">
      <c r="A39" t="s">
        <v>73</v>
      </c>
      <c r="B39">
        <v>37685</v>
      </c>
      <c r="C39">
        <v>17703</v>
      </c>
      <c r="D39">
        <v>29023</v>
      </c>
      <c r="E39">
        <f t="shared" si="0"/>
        <v>84411</v>
      </c>
      <c r="F39">
        <v>30896</v>
      </c>
      <c r="G39">
        <v>33523</v>
      </c>
      <c r="H39">
        <v>33044</v>
      </c>
      <c r="I39">
        <f t="shared" si="1"/>
        <v>97463</v>
      </c>
      <c r="J39">
        <v>37185</v>
      </c>
      <c r="K39">
        <v>34720</v>
      </c>
      <c r="L39">
        <v>39849</v>
      </c>
      <c r="M39">
        <f t="shared" si="2"/>
        <v>111754</v>
      </c>
      <c r="N39">
        <v>24368</v>
      </c>
      <c r="O39">
        <v>37577</v>
      </c>
      <c r="P39">
        <v>37972</v>
      </c>
      <c r="Q39">
        <f t="shared" si="3"/>
        <v>99917</v>
      </c>
      <c r="R39">
        <f t="shared" si="4"/>
        <v>393545</v>
      </c>
    </row>
    <row r="40" spans="1:18" x14ac:dyDescent="0.25">
      <c r="A40" t="s">
        <v>24</v>
      </c>
      <c r="B40">
        <v>55346</v>
      </c>
      <c r="C40">
        <v>35004</v>
      </c>
      <c r="D40">
        <v>27960</v>
      </c>
      <c r="E40">
        <f t="shared" si="0"/>
        <v>118310</v>
      </c>
      <c r="F40">
        <v>51107</v>
      </c>
      <c r="G40">
        <v>47467</v>
      </c>
      <c r="H40">
        <v>25022</v>
      </c>
      <c r="I40">
        <f t="shared" si="1"/>
        <v>123596</v>
      </c>
      <c r="J40">
        <v>32171</v>
      </c>
      <c r="K40">
        <v>43584</v>
      </c>
      <c r="L40">
        <v>33463</v>
      </c>
      <c r="M40">
        <f t="shared" si="2"/>
        <v>109218</v>
      </c>
      <c r="N40">
        <v>39815</v>
      </c>
      <c r="O40">
        <v>47412</v>
      </c>
      <c r="P40">
        <v>41051</v>
      </c>
      <c r="Q40">
        <f t="shared" si="3"/>
        <v>128278</v>
      </c>
      <c r="R40">
        <f t="shared" si="4"/>
        <v>479402</v>
      </c>
    </row>
    <row r="41" spans="1:18" x14ac:dyDescent="0.25">
      <c r="A41" t="s">
        <v>74</v>
      </c>
      <c r="B41">
        <v>33527</v>
      </c>
      <c r="C41">
        <v>40075</v>
      </c>
      <c r="D41">
        <v>43239</v>
      </c>
      <c r="E41">
        <f t="shared" si="0"/>
        <v>116841</v>
      </c>
      <c r="F41">
        <v>33422</v>
      </c>
      <c r="G41">
        <v>32833</v>
      </c>
      <c r="H41">
        <v>35679</v>
      </c>
      <c r="I41">
        <f t="shared" si="1"/>
        <v>101934</v>
      </c>
      <c r="J41">
        <v>21419</v>
      </c>
      <c r="K41">
        <v>45982</v>
      </c>
      <c r="L41">
        <v>29073</v>
      </c>
      <c r="M41">
        <f t="shared" si="2"/>
        <v>96474</v>
      </c>
      <c r="N41">
        <v>37263</v>
      </c>
      <c r="O41">
        <v>44724</v>
      </c>
      <c r="P41">
        <v>31815</v>
      </c>
      <c r="Q41">
        <f t="shared" si="3"/>
        <v>113802</v>
      </c>
      <c r="R41">
        <f t="shared" si="4"/>
        <v>429051</v>
      </c>
    </row>
  </sheetData>
  <pageMargins left="0.70866141732283472" right="0.70866141732283472" top="0.74803149606299213" bottom="0.74803149606299213" header="0.31496062992125984" footer="0.31496062992125984"/>
  <pageSetup paperSize="9" orientation="portrait" cellComments="atEnd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5:H17"/>
  <sheetViews>
    <sheetView workbookViewId="0">
      <selection activeCell="D23" sqref="D23"/>
    </sheetView>
  </sheetViews>
  <sheetFormatPr baseColWidth="10" defaultRowHeight="15" x14ac:dyDescent="0.25"/>
  <cols>
    <col min="4" max="4" width="15.85546875" bestFit="1" customWidth="1"/>
    <col min="7" max="7" width="13.42578125" bestFit="1" customWidth="1"/>
  </cols>
  <sheetData>
    <row r="5" spans="1:8" ht="15.75" thickBot="1" x14ac:dyDescent="0.3">
      <c r="A5" s="16" t="s">
        <v>85</v>
      </c>
      <c r="B5" s="17" t="s">
        <v>86</v>
      </c>
      <c r="C5" s="17" t="s">
        <v>87</v>
      </c>
      <c r="D5" s="17" t="s">
        <v>88</v>
      </c>
      <c r="E5" s="17" t="s">
        <v>89</v>
      </c>
      <c r="F5" s="17" t="s">
        <v>90</v>
      </c>
      <c r="G5" s="17" t="s">
        <v>91</v>
      </c>
      <c r="H5" s="18" t="s">
        <v>92</v>
      </c>
    </row>
    <row r="6" spans="1:8" x14ac:dyDescent="0.25">
      <c r="A6" s="19" t="s">
        <v>93</v>
      </c>
      <c r="B6" s="20">
        <v>7576.6799999999985</v>
      </c>
      <c r="C6" s="20">
        <v>3847.05</v>
      </c>
      <c r="D6" s="20">
        <v>17557.379999999997</v>
      </c>
      <c r="E6" s="20">
        <v>11025.119999999999</v>
      </c>
      <c r="F6" s="20">
        <v>7246.0499999999993</v>
      </c>
      <c r="G6" s="20">
        <v>10061.039999999999</v>
      </c>
      <c r="H6" s="21">
        <v>57313.319999999992</v>
      </c>
    </row>
    <row r="7" spans="1:8" x14ac:dyDescent="0.25">
      <c r="A7" s="22" t="s">
        <v>94</v>
      </c>
      <c r="B7" s="23">
        <v>10054.86</v>
      </c>
      <c r="C7" s="23">
        <v>7882.59</v>
      </c>
      <c r="D7" s="23">
        <v>16948.650000000001</v>
      </c>
      <c r="E7" s="23">
        <v>16927.02</v>
      </c>
      <c r="F7" s="23">
        <v>10088.85</v>
      </c>
      <c r="G7" s="23">
        <v>7576.6799999999985</v>
      </c>
      <c r="H7" s="24">
        <v>69478.649999999994</v>
      </c>
    </row>
    <row r="8" spans="1:8" x14ac:dyDescent="0.25">
      <c r="A8" s="25" t="s">
        <v>95</v>
      </c>
      <c r="B8" s="26">
        <v>10054.86</v>
      </c>
      <c r="C8" s="26">
        <v>20347.650000000001</v>
      </c>
      <c r="D8" s="26">
        <v>10944.779999999999</v>
      </c>
      <c r="E8" s="26">
        <v>7864.0499999999993</v>
      </c>
      <c r="F8" s="26">
        <v>7246.0499999999993</v>
      </c>
      <c r="G8" s="26">
        <v>7184.25</v>
      </c>
      <c r="H8" s="27">
        <v>63641.639999999992</v>
      </c>
    </row>
    <row r="9" spans="1:8" x14ac:dyDescent="0.25">
      <c r="A9" s="22" t="s">
        <v>96</v>
      </c>
      <c r="B9" s="23">
        <v>10994.22</v>
      </c>
      <c r="C9" s="23">
        <v>16957.919999999998</v>
      </c>
      <c r="D9" s="23">
        <v>10988.039999999999</v>
      </c>
      <c r="E9" s="23">
        <v>10061.039999999999</v>
      </c>
      <c r="F9" s="23">
        <v>7273.8600000000006</v>
      </c>
      <c r="G9" s="23">
        <v>10061.039999999999</v>
      </c>
      <c r="H9" s="24">
        <v>66336.12</v>
      </c>
    </row>
    <row r="10" spans="1:8" x14ac:dyDescent="0.25">
      <c r="A10" s="25" t="s">
        <v>97</v>
      </c>
      <c r="B10" s="26">
        <v>11086.92</v>
      </c>
      <c r="C10" s="26">
        <v>20563.95</v>
      </c>
      <c r="D10" s="26">
        <v>17566.650000000001</v>
      </c>
      <c r="E10" s="26">
        <v>16936.29</v>
      </c>
      <c r="F10" s="26">
        <v>7246.0499999999993</v>
      </c>
      <c r="G10" s="26">
        <v>7595.2199999999993</v>
      </c>
      <c r="H10" s="27">
        <v>80995.08</v>
      </c>
    </row>
    <row r="11" spans="1:8" x14ac:dyDescent="0.25">
      <c r="A11" s="22" t="s">
        <v>98</v>
      </c>
      <c r="B11" s="23">
        <v>7595.2199999999993</v>
      </c>
      <c r="C11" s="23">
        <v>18490.559999999998</v>
      </c>
      <c r="D11" s="23">
        <v>16957.919999999998</v>
      </c>
      <c r="E11" s="23">
        <v>7585.95</v>
      </c>
      <c r="F11" s="23">
        <v>10054.86</v>
      </c>
      <c r="G11" s="23">
        <v>7246.0499999999993</v>
      </c>
      <c r="H11" s="24">
        <v>67930.559999999998</v>
      </c>
    </row>
    <row r="12" spans="1:8" x14ac:dyDescent="0.25">
      <c r="A12" s="25" t="s">
        <v>99</v>
      </c>
      <c r="B12" s="26">
        <v>10067.219999999999</v>
      </c>
      <c r="C12" s="26">
        <v>17579.009999999998</v>
      </c>
      <c r="D12" s="26">
        <v>20344.559999999998</v>
      </c>
      <c r="E12" s="26">
        <v>10054.86</v>
      </c>
      <c r="F12" s="26">
        <v>6628.05</v>
      </c>
      <c r="G12" s="26">
        <v>6526.079999999999</v>
      </c>
      <c r="H12" s="27">
        <v>71199.78</v>
      </c>
    </row>
    <row r="13" spans="1:8" x14ac:dyDescent="0.25">
      <c r="A13" s="22" t="s">
        <v>100</v>
      </c>
      <c r="B13" s="23">
        <v>11077.65</v>
      </c>
      <c r="C13" s="23">
        <v>16927.02</v>
      </c>
      <c r="D13" s="23">
        <v>20038.650000000001</v>
      </c>
      <c r="E13" s="23">
        <v>7592.1299999999992</v>
      </c>
      <c r="F13" s="23">
        <v>7286.2199999999993</v>
      </c>
      <c r="G13" s="23">
        <v>10054.86</v>
      </c>
      <c r="H13" s="24">
        <v>72976.53</v>
      </c>
    </row>
    <row r="14" spans="1:8" x14ac:dyDescent="0.25">
      <c r="A14" s="25" t="s">
        <v>101</v>
      </c>
      <c r="B14" s="26">
        <v>11077.65</v>
      </c>
      <c r="C14" s="26">
        <v>11117.82</v>
      </c>
      <c r="D14" s="26">
        <v>17875.650000000001</v>
      </c>
      <c r="E14" s="26">
        <v>8018.5499999999993</v>
      </c>
      <c r="F14" s="26">
        <v>7592.1299999999992</v>
      </c>
      <c r="G14" s="26">
        <v>7595.2199999999993</v>
      </c>
      <c r="H14" s="27">
        <v>63277.01999999999</v>
      </c>
    </row>
    <row r="15" spans="1:8" x14ac:dyDescent="0.25">
      <c r="A15" s="22" t="s">
        <v>102</v>
      </c>
      <c r="B15" s="23">
        <v>12001.559999999998</v>
      </c>
      <c r="C15" s="23">
        <v>11377.38</v>
      </c>
      <c r="D15" s="23">
        <v>6628.05</v>
      </c>
      <c r="E15" s="23">
        <v>10061.039999999999</v>
      </c>
      <c r="F15" s="23">
        <v>7595.2199999999993</v>
      </c>
      <c r="G15" s="23">
        <v>7891.8600000000006</v>
      </c>
      <c r="H15" s="24">
        <v>55555.109999999986</v>
      </c>
    </row>
    <row r="16" spans="1:8" x14ac:dyDescent="0.25">
      <c r="A16" s="25" t="s">
        <v>103</v>
      </c>
      <c r="B16" s="26">
        <v>20152.98</v>
      </c>
      <c r="C16" s="26">
        <v>19955.22</v>
      </c>
      <c r="D16" s="26">
        <v>10061.039999999999</v>
      </c>
      <c r="E16" s="26">
        <v>7592.1299999999992</v>
      </c>
      <c r="F16" s="26">
        <v>10067.219999999999</v>
      </c>
      <c r="G16" s="26">
        <v>7576.6799999999985</v>
      </c>
      <c r="H16" s="27">
        <v>75405.26999999999</v>
      </c>
    </row>
    <row r="17" spans="1:8" x14ac:dyDescent="0.25">
      <c r="A17" s="28" t="s">
        <v>104</v>
      </c>
      <c r="B17" s="29">
        <v>11074.56</v>
      </c>
      <c r="C17" s="29">
        <v>16846.68</v>
      </c>
      <c r="D17" s="29">
        <v>7280.0399999999991</v>
      </c>
      <c r="E17" s="29">
        <v>10061.039999999999</v>
      </c>
      <c r="F17" s="29">
        <v>3853.23</v>
      </c>
      <c r="G17" s="29">
        <v>10975.679999999998</v>
      </c>
      <c r="H17" s="30">
        <v>60091.229999999996</v>
      </c>
    </row>
  </sheetData>
  <pageMargins left="0.70866141732283472" right="0.70866141732283472" top="0.74803149606299213" bottom="0.74803149606299213" header="0.31496062992125984" footer="0.31496062992125984"/>
  <pageSetup paperSize="9" orientation="portrait" cellComments="atEnd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6AFE6728E5A14C86DF9013CF8ECB33" ma:contentTypeVersion="7" ma:contentTypeDescription="Crear nuevo documento." ma:contentTypeScope="" ma:versionID="c05acd71b173324e237270fcefbf71f4">
  <xsd:schema xmlns:xsd="http://www.w3.org/2001/XMLSchema" xmlns:xs="http://www.w3.org/2001/XMLSchema" xmlns:p="http://schemas.microsoft.com/office/2006/metadata/properties" xmlns:ns2="5d9cb2b7-47f3-45e6-bad8-d6693fc12436" targetNamespace="http://schemas.microsoft.com/office/2006/metadata/properties" ma:root="true" ma:fieldsID="00583bbd5a0d27ad97d013fd622b1786" ns2:_="">
    <xsd:import namespace="5d9cb2b7-47f3-45e6-bad8-d6693fc124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cb2b7-47f3-45e6-bad8-d6693fc124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44FF4B-AA28-4920-9DAF-685BF5D02E47}"/>
</file>

<file path=customXml/itemProps2.xml><?xml version="1.0" encoding="utf-8"?>
<ds:datastoreItem xmlns:ds="http://schemas.openxmlformats.org/officeDocument/2006/customXml" ds:itemID="{40C7B39A-1529-434C-8BBA-9492066C1381}"/>
</file>

<file path=customXml/itemProps3.xml><?xml version="1.0" encoding="utf-8"?>
<ds:datastoreItem xmlns:ds="http://schemas.openxmlformats.org/officeDocument/2006/customXml" ds:itemID="{DCCAF14F-39BE-484A-8912-04138F8542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Detalle</vt:lpstr>
      <vt:lpstr>Comercial</vt:lpstr>
      <vt:lpstr>Ventas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Alianza Educativa</dc:title>
  <dc:subject>Manual Excel Expert 2010</dc:subject>
  <dc:creator>Rosane Uribe Jacobo</dc:creator>
  <cp:lastModifiedBy>Rosane</cp:lastModifiedBy>
  <cp:lastPrinted>2012-09-17T10:09:58Z</cp:lastPrinted>
  <dcterms:created xsi:type="dcterms:W3CDTF">2012-09-17T09:34:17Z</dcterms:created>
  <dcterms:modified xsi:type="dcterms:W3CDTF">2012-09-17T10:33:40Z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0x010100CA6AFE6728E5A14C86DF9013CF8ECB33</vt:lpwstr>
  </property>
</Properties>
</file>